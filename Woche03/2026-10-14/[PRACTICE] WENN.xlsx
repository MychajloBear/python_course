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DSI\Python\Woche03\2026-10-14\"/>
    </mc:Choice>
  </mc:AlternateContent>
  <xr:revisionPtr revIDLastSave="0" documentId="13_ncr:1_{375A9886-FA31-45CD-8555-6AD2BED0F14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blem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8" i="7" l="1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07" i="7"/>
  <c r="G85" i="7" a="1"/>
  <c r="G86" i="7" a="1"/>
  <c r="G87" i="7" a="1"/>
  <c r="G88" i="7" a="1"/>
  <c r="G89" i="7" a="1"/>
  <c r="G90" i="7" a="1"/>
  <c r="G91" i="7" a="1"/>
  <c r="G92" i="7" a="1"/>
  <c r="G93" i="7" a="1"/>
  <c r="G94" i="7" a="1"/>
  <c r="G95" i="7" a="1"/>
  <c r="G96" i="7" a="1"/>
  <c r="G97" i="7" a="1"/>
  <c r="G98" i="7" a="1"/>
  <c r="G99" i="7" a="1"/>
  <c r="G100" i="7" a="1"/>
  <c r="G101" i="7" a="1"/>
  <c r="G102" i="7" a="1"/>
  <c r="G103" i="7" a="1"/>
  <c r="G84" i="7" a="1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32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58" i="7"/>
  <c r="G8" i="7"/>
  <c r="G7" i="7"/>
  <c r="G20" i="7"/>
  <c r="G21" i="7"/>
  <c r="G22" i="7"/>
  <c r="G23" i="7"/>
  <c r="G24" i="7"/>
  <c r="G25" i="7"/>
  <c r="G26" i="7"/>
  <c r="G27" i="7"/>
  <c r="G28" i="7"/>
  <c r="G9" i="7"/>
  <c r="G10" i="7"/>
  <c r="G11" i="7"/>
  <c r="G12" i="7"/>
  <c r="G13" i="7"/>
  <c r="G14" i="7"/>
  <c r="G15" i="7"/>
  <c r="G16" i="7"/>
  <c r="G17" i="7"/>
  <c r="G18" i="7"/>
  <c r="G19" i="7"/>
  <c r="G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RAFIUL</author>
  </authors>
  <commentList>
    <comment ref="G5" authorId="0" shapeId="0" xr:uid="{2D526749-1E6A-4599-AEE9-F140C3909570}">
      <text>
        <r>
          <rPr>
            <b/>
            <sz val="9"/>
            <color indexed="81"/>
            <rFont val="Tahoma"/>
            <family val="2"/>
          </rPr>
          <t>Products costing Less than $5, has the tax included</t>
        </r>
      </text>
    </comment>
    <comment ref="H5" authorId="0" shapeId="0" xr:uid="{750CD5C9-2EF8-4A2B-8DA0-376D38D23A26}">
      <text>
        <r>
          <rPr>
            <b/>
            <sz val="9"/>
            <color indexed="81"/>
            <rFont val="Tahoma"/>
            <family val="2"/>
          </rPr>
          <t>Products costing Less than $5, has the tax included</t>
        </r>
      </text>
    </comment>
    <comment ref="G31" authorId="0" shapeId="0" xr:uid="{E4512E99-8E51-4C74-952D-DE2F14073452}">
      <text>
        <r>
          <rPr>
            <b/>
            <sz val="9"/>
            <color indexed="81"/>
            <rFont val="Tahoma"/>
            <family val="2"/>
          </rPr>
          <t>10% of price for more than $5</t>
        </r>
      </text>
    </comment>
    <comment ref="G57" authorId="0" shapeId="0" xr:uid="{8828A1A4-451D-4DFE-A3BD-35B019AD8AEC}">
      <text>
        <r>
          <rPr>
            <b/>
            <sz val="9"/>
            <color indexed="81"/>
            <rFont val="Tahoma"/>
            <family val="2"/>
          </rPr>
          <t>Sizes
&lt;$7 Small
&lt;$10 Medium
&gt;$10 Large</t>
        </r>
      </text>
    </comment>
    <comment ref="G83" authorId="0" shapeId="0" xr:uid="{452F28BD-D0C0-4461-98E6-714757095E3B}">
      <text>
        <r>
          <rPr>
            <b/>
            <sz val="9"/>
            <color indexed="81"/>
            <rFont val="Tahoma"/>
            <family val="2"/>
          </rPr>
          <t>Values are Given in the "Reference Tables" sheet.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<sst xmlns="http://schemas.openxmlformats.org/spreadsheetml/2006/main" count="440" uniqueCount="102">
  <si>
    <t>IF Function Excel Practice Exercises</t>
  </si>
  <si>
    <t>A001</t>
  </si>
  <si>
    <t>A002</t>
  </si>
  <si>
    <t>A003</t>
  </si>
  <si>
    <t>A004</t>
  </si>
  <si>
    <t>A005</t>
  </si>
  <si>
    <t>A006</t>
  </si>
  <si>
    <t>Customer</t>
  </si>
  <si>
    <t>Date Time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</si>
  <si>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</si>
  <si>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</si>
  <si>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</si>
  <si>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</si>
  <si>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</si>
  <si>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</si>
  <si>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</si>
  <si>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</si>
  <si>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</si>
  <si>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</si>
  <si>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</si>
  <si>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</si>
  <si>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</si>
  <si>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</si>
  <si>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</si>
  <si>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</si>
  <si>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</si>
  <si>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Ross</t>
  </si>
  <si>
    <t>Joey</t>
  </si>
  <si>
    <t>Monica</t>
  </si>
  <si>
    <t>Rachel</t>
  </si>
  <si>
    <t>Chandler</t>
  </si>
  <si>
    <t>Phoebe</t>
  </si>
  <si>
    <t>Item</t>
  </si>
  <si>
    <t>Pizza</t>
  </si>
  <si>
    <t>Drinks</t>
  </si>
  <si>
    <t>Burger</t>
  </si>
  <si>
    <t>Sub Sandwich</t>
  </si>
  <si>
    <t>Hot Dog</t>
  </si>
  <si>
    <t>Gunther</t>
  </si>
  <si>
    <t>Tea</t>
  </si>
  <si>
    <t>Price</t>
  </si>
  <si>
    <t>Status</t>
  </si>
  <si>
    <t>Order ID</t>
  </si>
  <si>
    <t>Exercise 02 Calculate Tax Amount:</t>
  </si>
  <si>
    <t>Tax Amount</t>
  </si>
  <si>
    <t>Pizza Size</t>
  </si>
  <si>
    <t>Exercise 03 Show Value from a Lookup Table:</t>
  </si>
  <si>
    <t>Student</t>
  </si>
  <si>
    <t>Score</t>
  </si>
  <si>
    <t>Subject</t>
  </si>
  <si>
    <t>Physics</t>
  </si>
  <si>
    <t>Jim</t>
  </si>
  <si>
    <t>Anderson</t>
  </si>
  <si>
    <t>Heather</t>
  </si>
  <si>
    <t>Richard</t>
  </si>
  <si>
    <t>Jordan</t>
  </si>
  <si>
    <t>Jenna</t>
  </si>
  <si>
    <t>Gordon</t>
  </si>
  <si>
    <t>Johnson</t>
  </si>
  <si>
    <t>Kristen</t>
  </si>
  <si>
    <t>Patrick</t>
  </si>
  <si>
    <t>David</t>
  </si>
  <si>
    <t>Adam</t>
  </si>
  <si>
    <t>Bell</t>
  </si>
  <si>
    <t>Nathalia</t>
  </si>
  <si>
    <t>Teacher</t>
  </si>
  <si>
    <t>Arteus</t>
  </si>
  <si>
    <t>Result Date</t>
  </si>
  <si>
    <t>Sales Rep</t>
  </si>
  <si>
    <t>Sales</t>
  </si>
  <si>
    <t>Commission</t>
  </si>
  <si>
    <t>Ryan</t>
  </si>
  <si>
    <t>Jacob</t>
  </si>
  <si>
    <t>Emily</t>
  </si>
  <si>
    <t>Kevin</t>
  </si>
  <si>
    <t>Zone</t>
  </si>
  <si>
    <t>South</t>
  </si>
  <si>
    <t>North</t>
  </si>
  <si>
    <t>East</t>
  </si>
  <si>
    <t>West</t>
  </si>
  <si>
    <t>Month</t>
  </si>
  <si>
    <t>January</t>
  </si>
  <si>
    <t>February</t>
  </si>
  <si>
    <t>April</t>
  </si>
  <si>
    <t>March</t>
  </si>
  <si>
    <t>Number</t>
  </si>
  <si>
    <t>Grade</t>
  </si>
  <si>
    <t>A</t>
  </si>
  <si>
    <t>A-</t>
  </si>
  <si>
    <t>B</t>
  </si>
  <si>
    <t>C</t>
  </si>
  <si>
    <t>D</t>
  </si>
  <si>
    <t>F</t>
  </si>
  <si>
    <t>Exercise 01 Display Status Text:</t>
  </si>
  <si>
    <t>Ergebnis</t>
  </si>
  <si>
    <t/>
  </si>
  <si>
    <t>Small Pizza</t>
  </si>
  <si>
    <t>Medium Pizza</t>
  </si>
  <si>
    <t>Large Pizza</t>
  </si>
  <si>
    <t>Exercise 05 Find Student Grades:</t>
  </si>
  <si>
    <t>Exercise 04 Find Sales Commission:</t>
  </si>
  <si>
    <t>Inklusive Steuer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</si>
</sst>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_);[Red]\(&quot;$&quot;#,##0\)"/>
    <numFmt numFmtId="165" formatCode="&quot;$&quot;#,##0.00_);[Red]\(&quot;$&quot;#,##0.00\)"/>
    <numFmt numFmtId="166" formatCode="d\-mmm\-yy\ h:mm\ AM/PM"/>
    <numFmt numFmtId="167" formatCode="&quot;$&quot;#,##0.000"/>
    <numFmt numFmtId="168" formatCode="[$-409]d\-mmm;@"/>
    <numFmt numFmtId="170" formatCode="0.000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  <font>
      <b/>
      <sz val="9"/>
      <color indexed="81"/>
      <name val="Tahoma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ECFFCC"/>
        <bgColor indexed="64"/>
      </patternFill>
    </fill>
    <fill>
      <patternFill patternType="solid">
        <fgColor rgb="FFD9D9FF"/>
        <bgColor indexed="64"/>
      </patternFill>
    </fill>
    <fill>
      <patternFill patternType="solid">
        <fgColor rgb="FFF7FFEB"/>
        <bgColor indexed="64"/>
      </patternFill>
    </fill>
    <fill>
      <patternFill patternType="solid">
        <fgColor rgb="FFECFFCC"/>
        <bgColor rgb="FF000000"/>
      </patternFill>
    </fill>
    <fill>
      <patternFill patternType="solid">
        <fgColor rgb="FFF7FFEB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9999FF"/>
      </bottom>
      <diagonal/>
    </border>
  </borders>
  <cellStyleXfs count="2">
    <xf numFmtId="0" fontId="0" fillId="0" borderId="0"/>
    <xf numFmtId="0" fontId="4" fillId="0" borderId="2" applyNumberFormat="0" applyFill="0" applyAlignment="0" applyProtection="0"/>
  </cellStyleXfs>
  <cellXfs count="22">
    <xf numFmtId="0" fontId="0" fillId="0" borderId="0" xfId="0"/>
    <xf numFmtId="0" fontId="2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6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7" fontId="7" fillId="7" borderId="1" xfId="0" applyNumberFormat="1" applyFont="1" applyFill="1" applyBorder="1" applyAlignment="1">
      <alignment horizontal="center" vertical="center"/>
    </xf>
    <xf numFmtId="9" fontId="7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4" fillId="4" borderId="2" xfId="1" applyFill="1" applyAlignment="1">
      <alignment horizontal="center" vertical="center"/>
    </xf>
    <xf numFmtId="170" fontId="3" fillId="3" borderId="1" xfId="0" applyNumberFormat="1" applyFont="1" applyFill="1" applyBorder="1" applyAlignment="1">
      <alignment horizontal="center" vertical="center"/>
    </xf>
    <xf numFmtId="170" fontId="2" fillId="5" borderId="1" xfId="0" applyNumberFormat="1" applyFont="1" applyFill="1" applyBorder="1" applyAlignment="1">
      <alignment horizontal="center" vertical="center"/>
    </xf>
  </cellXfs>
  <cellStyles count="2">
    <cellStyle name="Заголовок 2" xfId="1" builtinId="17" customBuiltin="1"/>
    <cellStyle name="Звичайний" xfId="0" builtinId="0"/>
  </cellStyles>
  <dxfs count="0"/>
  <tableStyles count="0" defaultTableStyle="TableStyleMedium2" defaultPivotStyle="PivotStyleLight16"/>
  <colors>
    <mruColors>
      <color rgb="FFD9D9FF"/>
      <color rgb="FFF7FFEB"/>
      <color rgb="FFECFFCC"/>
      <color rgb="FFCCECFF"/>
      <color rgb="FF9999FF"/>
      <color rgb="FFC1C1FF"/>
      <color rgb="FFFFCCEC"/>
      <color rgb="FFFFBA8F"/>
      <color rgb="FFFFDFCC"/>
      <color rgb="FF71B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996315</xdr:colOff>
      <xdr:row>5</xdr:row>
      <xdr:rowOff>213361</xdr:rowOff>
    </xdr:from>
    <xdr:to>
      <xdr:col>12</xdr:col>
      <xdr:colOff>457200</xdr:colOff>
      <xdr:row>13</xdr:row>
      <xdr:rowOff>200025</xdr:rowOff>
    </xdr:to>
    <xdr:sp macro="" textlink="">
      <xdr:nvSpPr>
        <xdr:cNvPr id="2" name="Speech Bubble: Rectangle with Corners Rounded 1">
          <a:extLst>
            <a:ext uri="{FF2B5EF4-FFF2-40B4-BE49-F238E27FC236}">
              <a16:creationId xmlns:a16="http://schemas.microsoft.com/office/drawing/2014/main" id="{4DB027B9-6282-4474-82D1-D43A956326EF}"/>
            </a:ext>
          </a:extLst>
        </xdr:cNvPr>
        <xdr:cNvSpPr/>
      </xdr:nvSpPr>
      <xdr:spPr>
        <a:xfrm>
          <a:off x="9159240" y="1451611"/>
          <a:ext cx="3880485" cy="1967864"/>
        </a:xfrm>
        <a:prstGeom prst="wedgeRoundRectCallout">
          <a:avLst>
            <a:gd name="adj1" fmla="val -66236"/>
            <a:gd name="adj2" fmla="val 24038"/>
            <a:gd name="adj3" fmla="val 16667"/>
          </a:avLst>
        </a:prstGeom>
        <a:solidFill>
          <a:srgbClr val="D9D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de-DE" sz="1400" b="1">
              <a:solidFill>
                <a:sysClr val="windowText" lastClr="000000"/>
              </a:solidFill>
            </a:rPr>
            <a:t>Übung 01 – Status-Text anzeigen</a:t>
          </a:r>
        </a:p>
        <a:p>
          <a:endParaRPr lang="de-DE" sz="1400" b="0">
            <a:solidFill>
              <a:sysClr val="windowText" lastClr="000000"/>
            </a:solidFill>
          </a:endParaRPr>
        </a:p>
        <a:p>
          <a:r>
            <a:rPr lang="de-DE" sz="1400" b="0">
              <a:solidFill>
                <a:sysClr val="windowText" lastClr="000000"/>
              </a:solidFill>
            </a:rPr>
            <a:t>Produkte mit einem Preis von weniger als 5 $ enthalten die Steuer bereits im</a:t>
          </a:r>
          <a:r>
            <a:rPr lang="de-DE" sz="1400" b="0" baseline="0">
              <a:solidFill>
                <a:sysClr val="windowText" lastClr="000000"/>
              </a:solidFill>
            </a:rPr>
            <a:t> Preis. Verwende die WENN-Funktion, um im Statusfeld den Text "Inklusive Steuer" anzuzeigen, wenn der Produktpreis unter 5 $ liegt.</a:t>
          </a:r>
          <a:endParaRPr lang="de-DE" sz="1400" b="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937261</xdr:colOff>
      <xdr:row>31</xdr:row>
      <xdr:rowOff>190501</xdr:rowOff>
    </xdr:from>
    <xdr:to>
      <xdr:col>11</xdr:col>
      <xdr:colOff>1158241</xdr:colOff>
      <xdr:row>39</xdr:row>
      <xdr:rowOff>15240</xdr:rowOff>
    </xdr:to>
    <xdr:sp macro="" textlink="">
      <xdr:nvSpPr>
        <xdr:cNvPr id="3" name="Speech Bubble: Rectangle with Corners Rounded 1">
          <a:extLst>
            <a:ext uri="{FF2B5EF4-FFF2-40B4-BE49-F238E27FC236}">
              <a16:creationId xmlns:a16="http://schemas.microsoft.com/office/drawing/2014/main" id="{C75F5127-5DA4-48B2-BD36-40BE9C0942A6}"/>
            </a:ext>
          </a:extLst>
        </xdr:cNvPr>
        <xdr:cNvSpPr/>
      </xdr:nvSpPr>
      <xdr:spPr>
        <a:xfrm>
          <a:off x="8595361" y="7985761"/>
          <a:ext cx="3505200" cy="1836419"/>
        </a:xfrm>
        <a:prstGeom prst="wedgeRoundRectCallout">
          <a:avLst>
            <a:gd name="adj1" fmla="val -64311"/>
            <a:gd name="adj2" fmla="val 18664"/>
            <a:gd name="adj3" fmla="val 16667"/>
          </a:avLst>
        </a:prstGeom>
        <a:solidFill>
          <a:srgbClr val="D9D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de-DE" sz="1400" b="1">
              <a:solidFill>
                <a:sysClr val="windowText" lastClr="000000"/>
              </a:solidFill>
            </a:rPr>
            <a:t>Übung 02 – Steuerbetrag berechnen</a:t>
          </a:r>
        </a:p>
        <a:p>
          <a:endParaRPr lang="de-DE" sz="1400" b="0">
            <a:solidFill>
              <a:sysClr val="windowText" lastClr="000000"/>
            </a:solidFill>
          </a:endParaRPr>
        </a:p>
        <a:p>
          <a:r>
            <a:rPr lang="de-DE" sz="1400" b="0">
              <a:solidFill>
                <a:sysClr val="windowText" lastClr="000000"/>
              </a:solidFill>
            </a:rPr>
            <a:t>Wenn der Produktpreis höher als 5 $ ist, wird eine Steuer von 10 % berechnet. Verwende die WENN-Funktion, um den Steuerbetrag zu berechnen.</a:t>
          </a:r>
        </a:p>
      </xdr:txBody>
    </xdr:sp>
    <xdr:clientData/>
  </xdr:twoCellAnchor>
  <xdr:twoCellAnchor>
    <xdr:from>
      <xdr:col>8</xdr:col>
      <xdr:colOff>962026</xdr:colOff>
      <xdr:row>56</xdr:row>
      <xdr:rowOff>114300</xdr:rowOff>
    </xdr:from>
    <xdr:to>
      <xdr:col>13</xdr:col>
      <xdr:colOff>333376</xdr:colOff>
      <xdr:row>64</xdr:row>
      <xdr:rowOff>200025</xdr:rowOff>
    </xdr:to>
    <xdr:sp macro="" textlink="">
      <xdr:nvSpPr>
        <xdr:cNvPr id="10" name="Speech Bubble: Rectangle with Corners Rounded 1">
          <a:extLst>
            <a:ext uri="{FF2B5EF4-FFF2-40B4-BE49-F238E27FC236}">
              <a16:creationId xmlns:a16="http://schemas.microsoft.com/office/drawing/2014/main" id="{B9D0CD14-C3D1-449F-9C18-2C286CB81F94}"/>
            </a:ext>
          </a:extLst>
        </xdr:cNvPr>
        <xdr:cNvSpPr/>
      </xdr:nvSpPr>
      <xdr:spPr>
        <a:xfrm>
          <a:off x="9124951" y="13982700"/>
          <a:ext cx="4400550" cy="2066925"/>
        </a:xfrm>
        <a:prstGeom prst="wedgeRoundRectCallout">
          <a:avLst>
            <a:gd name="adj1" fmla="val -64311"/>
            <a:gd name="adj2" fmla="val 18664"/>
            <a:gd name="adj3" fmla="val 16667"/>
          </a:avLst>
        </a:prstGeom>
        <a:solidFill>
          <a:srgbClr val="D9D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de-DE" sz="1400" b="1">
              <a:solidFill>
                <a:sysClr val="windowText" lastClr="000000"/>
              </a:solidFill>
            </a:rPr>
            <a:t>Übung 03 – Pizzagröße anhand des</a:t>
          </a:r>
          <a:r>
            <a:rPr lang="de-DE" sz="1400" b="1" baseline="0">
              <a:solidFill>
                <a:sysClr val="windowText" lastClr="000000"/>
              </a:solidFill>
            </a:rPr>
            <a:t> Preises ermitteln</a:t>
          </a:r>
          <a:endParaRPr lang="de-DE" sz="1400" b="1">
            <a:solidFill>
              <a:sysClr val="windowText" lastClr="000000"/>
            </a:solidFill>
          </a:endParaRPr>
        </a:p>
        <a:p>
          <a:endParaRPr lang="de-DE" sz="1400" b="1">
            <a:solidFill>
              <a:sysClr val="windowText" lastClr="000000"/>
            </a:solidFill>
          </a:endParaRPr>
        </a:p>
        <a:p>
          <a:r>
            <a:rPr lang="de-DE" sz="1400">
              <a:solidFill>
                <a:sysClr val="windowText" lastClr="000000"/>
              </a:solidFill>
            </a:rPr>
            <a:t>Eine kleine Pizza kostet weniger als 7 $, eine mittlere weniger als 10 $, und eine große mehr als 10 $.</a:t>
          </a:r>
          <a:br>
            <a:rPr lang="de-DE" sz="1400">
              <a:solidFill>
                <a:sysClr val="windowText" lastClr="000000"/>
              </a:solidFill>
            </a:rPr>
          </a:br>
          <a:r>
            <a:rPr lang="de-DE" sz="1400">
              <a:solidFill>
                <a:sysClr val="windowText" lastClr="000000"/>
              </a:solidFill>
            </a:rPr>
            <a:t>Anhand dieser Regeln soll die </a:t>
          </a:r>
          <a:r>
            <a:rPr lang="de-DE" sz="1400" b="1">
              <a:solidFill>
                <a:sysClr val="windowText" lastClr="000000"/>
              </a:solidFill>
            </a:rPr>
            <a:t>Pizzagröße ermittelt werden</a:t>
          </a:r>
          <a:r>
            <a:rPr lang="de-DE" sz="1400" b="0">
              <a:solidFill>
                <a:sysClr val="windowText" lastClr="000000"/>
              </a:solidFill>
            </a:rPr>
            <a:t>.</a:t>
          </a:r>
          <a:r>
            <a:rPr lang="de-DE" sz="1200">
              <a:effectLst/>
            </a:rPr>
            <a:t> </a:t>
          </a:r>
        </a:p>
        <a:p>
          <a:endParaRPr lang="de-DE" sz="14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0</xdr:colOff>
      <xdr:row>86</xdr:row>
      <xdr:rowOff>0</xdr:rowOff>
    </xdr:from>
    <xdr:to>
      <xdr:col>11</xdr:col>
      <xdr:colOff>1249680</xdr:colOff>
      <xdr:row>96</xdr:row>
      <xdr:rowOff>68580</xdr:rowOff>
    </xdr:to>
    <xdr:sp macro="" textlink="">
      <xdr:nvSpPr>
        <xdr:cNvPr id="13" name="Speech Bubble: Rectangle with Corners Rounded 1">
          <a:extLst>
            <a:ext uri="{FF2B5EF4-FFF2-40B4-BE49-F238E27FC236}">
              <a16:creationId xmlns:a16="http://schemas.microsoft.com/office/drawing/2014/main" id="{119C8037-672C-43B4-88CA-4BA6F2436E6B}"/>
            </a:ext>
          </a:extLst>
        </xdr:cNvPr>
        <xdr:cNvSpPr/>
      </xdr:nvSpPr>
      <xdr:spPr>
        <a:xfrm>
          <a:off x="8686800" y="33947100"/>
          <a:ext cx="3505200" cy="2583180"/>
        </a:xfrm>
        <a:prstGeom prst="wedgeRoundRectCallout">
          <a:avLst>
            <a:gd name="adj1" fmla="val -64311"/>
            <a:gd name="adj2" fmla="val 18664"/>
            <a:gd name="adj3" fmla="val 16667"/>
          </a:avLst>
        </a:prstGeom>
        <a:solidFill>
          <a:srgbClr val="D9D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de-DE" sz="1400" b="1">
              <a:solidFill>
                <a:sysClr val="windowText" lastClr="000000"/>
              </a:solidFill>
            </a:rPr>
            <a:t>Übung 04 – Verkaufsprovision berechnen</a:t>
          </a:r>
        </a:p>
        <a:p>
          <a:endParaRPr lang="de-DE" sz="1400" b="1">
            <a:solidFill>
              <a:sysClr val="windowText" lastClr="000000"/>
            </a:solidFill>
          </a:endParaRPr>
        </a:p>
        <a:p>
          <a:r>
            <a:rPr lang="de-DE" sz="1400">
              <a:solidFill>
                <a:sysClr val="windowText" lastClr="000000"/>
              </a:solidFill>
            </a:rPr>
            <a:t>Deine Aufgabe ist es, die Verkaufsprovision basierend auf dem Umsatz zu berechnen:</a:t>
          </a:r>
        </a:p>
        <a:p>
          <a:endParaRPr lang="de-DE" sz="1400">
            <a:solidFill>
              <a:sysClr val="windowText" lastClr="000000"/>
            </a:solidFill>
          </a:endParaRPr>
        </a:p>
        <a:p>
          <a:r>
            <a:rPr lang="de-DE" sz="1400">
              <a:solidFill>
                <a:sysClr val="windowText" lastClr="000000"/>
              </a:solidFill>
            </a:rPr>
            <a:t>600.000 $ bis 750.000 $ 	→ 3 % </a:t>
          </a:r>
        </a:p>
        <a:p>
          <a:r>
            <a:rPr lang="de-DE" sz="1400">
              <a:solidFill>
                <a:sysClr val="windowText" lastClr="000000"/>
              </a:solidFill>
            </a:rPr>
            <a:t>750.001 $ bis 900.000 $ 	→ 5 % </a:t>
          </a:r>
        </a:p>
        <a:p>
          <a:r>
            <a:rPr lang="de-DE" sz="1400">
              <a:solidFill>
                <a:sysClr val="windowText" lastClr="000000"/>
              </a:solidFill>
            </a:rPr>
            <a:t>über 900.000 $ 	→ 7 %</a:t>
          </a:r>
        </a:p>
      </xdr:txBody>
    </xdr:sp>
    <xdr:clientData/>
  </xdr:twoCellAnchor>
  <xdr:twoCellAnchor>
    <xdr:from>
      <xdr:col>9</xdr:col>
      <xdr:colOff>0</xdr:colOff>
      <xdr:row>113</xdr:row>
      <xdr:rowOff>0</xdr:rowOff>
    </xdr:from>
    <xdr:to>
      <xdr:col>11</xdr:col>
      <xdr:colOff>1249680</xdr:colOff>
      <xdr:row>123</xdr:row>
      <xdr:rowOff>129540</xdr:rowOff>
    </xdr:to>
    <xdr:sp macro="" textlink="">
      <xdr:nvSpPr>
        <xdr:cNvPr id="14" name="Speech Bubble: Rectangle with Corners Rounded 1">
          <a:extLst>
            <a:ext uri="{FF2B5EF4-FFF2-40B4-BE49-F238E27FC236}">
              <a16:creationId xmlns:a16="http://schemas.microsoft.com/office/drawing/2014/main" id="{E0D42809-7732-409A-95E4-F7427DE15F91}"/>
            </a:ext>
          </a:extLst>
        </xdr:cNvPr>
        <xdr:cNvSpPr/>
      </xdr:nvSpPr>
      <xdr:spPr>
        <a:xfrm>
          <a:off x="8686800" y="40736520"/>
          <a:ext cx="3505200" cy="2644140"/>
        </a:xfrm>
        <a:prstGeom prst="wedgeRoundRectCallout">
          <a:avLst>
            <a:gd name="adj1" fmla="val -64311"/>
            <a:gd name="adj2" fmla="val 18664"/>
            <a:gd name="adj3" fmla="val 16667"/>
          </a:avLst>
        </a:prstGeom>
        <a:solidFill>
          <a:srgbClr val="D9D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de-DE" sz="1400" b="1">
              <a:solidFill>
                <a:sysClr val="windowText" lastClr="000000"/>
              </a:solidFill>
            </a:rPr>
            <a:t>Übung 05 – Schülernoten berechnen</a:t>
          </a:r>
        </a:p>
        <a:p>
          <a:endParaRPr lang="de-DE" sz="1400" b="1">
            <a:solidFill>
              <a:sysClr val="windowText" lastClr="000000"/>
            </a:solidFill>
          </a:endParaRPr>
        </a:p>
        <a:p>
          <a:r>
            <a:rPr lang="de-DE" sz="1400">
              <a:solidFill>
                <a:sysClr val="windowText" lastClr="000000"/>
              </a:solidFill>
            </a:rPr>
            <a:t>Du sollst Buchstabennoten berechnen:</a:t>
          </a:r>
        </a:p>
        <a:p>
          <a:endParaRPr lang="de-DE" sz="1400">
            <a:solidFill>
              <a:sysClr val="windowText" lastClr="000000"/>
            </a:solidFill>
          </a:endParaRPr>
        </a:p>
        <a:p>
          <a:pPr lvl="1"/>
          <a:r>
            <a:rPr lang="de-DE" sz="1400">
              <a:solidFill>
                <a:sysClr val="windowText" lastClr="000000"/>
              </a:solidFill>
            </a:rPr>
            <a:t>90 oder mehr 	→ A </a:t>
          </a:r>
        </a:p>
        <a:p>
          <a:pPr lvl="1"/>
          <a:r>
            <a:rPr lang="de-DE" sz="1400">
              <a:solidFill>
                <a:sysClr val="windowText" lastClr="000000"/>
              </a:solidFill>
            </a:rPr>
            <a:t>75 bis 89 	→ A- </a:t>
          </a:r>
        </a:p>
        <a:p>
          <a:pPr lvl="1"/>
          <a:r>
            <a:rPr lang="de-DE" sz="1400">
              <a:solidFill>
                <a:sysClr val="windowText" lastClr="000000"/>
              </a:solidFill>
            </a:rPr>
            <a:t>60 bis 74 	→ B </a:t>
          </a:r>
        </a:p>
        <a:p>
          <a:pPr lvl="1"/>
          <a:r>
            <a:rPr lang="de-DE" sz="1400">
              <a:solidFill>
                <a:sysClr val="windowText" lastClr="000000"/>
              </a:solidFill>
            </a:rPr>
            <a:t>45 bis 59 	→ C </a:t>
          </a:r>
        </a:p>
        <a:p>
          <a:pPr lvl="1"/>
          <a:r>
            <a:rPr lang="de-DE" sz="1400">
              <a:solidFill>
                <a:sysClr val="windowText" lastClr="000000"/>
              </a:solidFill>
            </a:rPr>
            <a:t>33 bis 44 	→ D </a:t>
          </a:r>
        </a:p>
        <a:p>
          <a:pPr lvl="1"/>
          <a:r>
            <a:rPr lang="de-DE" sz="1400">
              <a:solidFill>
                <a:sysClr val="windowText" lastClr="000000"/>
              </a:solidFill>
            </a:rPr>
            <a:t>weniger als 33 	→ F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09552-71BC-4F4A-8093-09EB1C5E63C3}">
  <dimension ref="B2:J126"/>
  <sheetViews>
    <sheetView showGridLines="0" tabSelected="1" topLeftCell="A94" zoomScale="76" workbookViewId="0">
      <selection activeCell="H115" sqref="H115"/>
    </sheetView>
  </sheetViews>
  <sheetFormatPr defaultColWidth="9.1796875" defaultRowHeight="20.149999999999999" customHeight="1" x14ac:dyDescent="0.35"/>
  <cols>
    <col min="1" max="1" width="3.7265625" style="1" customWidth="1"/>
    <col min="2" max="2" width="17.7265625" style="1" bestFit="1" customWidth="1"/>
    <col min="3" max="3" width="19" style="1" bestFit="1" customWidth="1"/>
    <col min="4" max="4" width="16.81640625" style="1" bestFit="1" customWidth="1"/>
    <col min="5" max="5" width="13.7265625" style="1" bestFit="1" customWidth="1"/>
    <col min="6" max="6" width="11.7265625" style="1" customWidth="1"/>
    <col min="7" max="7" width="20.453125" style="1" bestFit="1" customWidth="1"/>
    <col min="8" max="8" width="19.26953125" style="1" customWidth="1"/>
    <col min="9" max="9" width="15" style="1" bestFit="1" customWidth="1"/>
    <col min="10" max="10" width="16.26953125" style="1" customWidth="1"/>
    <col min="11" max="11" width="16.54296875" style="1" customWidth="1"/>
    <col min="12" max="12" width="18.453125" style="1" customWidth="1"/>
    <col min="13" max="13" width="9.1796875" style="1"/>
    <col min="14" max="14" width="13.7265625" style="1" bestFit="1" customWidth="1"/>
    <col min="15" max="15" width="12.453125" style="1" bestFit="1" customWidth="1"/>
    <col min="16" max="16384" width="9.1796875" style="1"/>
  </cols>
  <sheetData>
    <row r="2" spans="2:10" ht="20.149999999999999" customHeight="1" thickBot="1" x14ac:dyDescent="0.4">
      <c r="B2" s="19" t="s">
        <v>0</v>
      </c>
      <c r="C2" s="19"/>
      <c r="D2" s="19"/>
      <c r="E2" s="19"/>
      <c r="F2" s="19"/>
      <c r="G2" s="19"/>
    </row>
    <row r="3" spans="2:10" ht="20.149999999999999" customHeight="1" thickTop="1" x14ac:dyDescent="0.35"/>
    <row r="4" spans="2:10" ht="20.149999999999999" customHeight="1" x14ac:dyDescent="0.35">
      <c r="B4" s="13" t="s">
        <v>93</v>
      </c>
    </row>
    <row r="5" spans="2:10" ht="20.149999999999999" customHeight="1" x14ac:dyDescent="0.35">
      <c r="B5" s="3" t="s">
        <v>42</v>
      </c>
      <c r="C5" s="3" t="s">
        <v>8</v>
      </c>
      <c r="D5" s="3" t="s">
        <v>7</v>
      </c>
      <c r="E5" s="3" t="s">
        <v>32</v>
      </c>
      <c r="F5" s="3" t="s">
        <v>40</v>
      </c>
      <c r="G5" s="4" t="s">
        <v>41</v>
      </c>
      <c r="H5" s="14" t="s">
        <v>94</v>
      </c>
    </row>
    <row r="6" spans="2:10" ht="20.149999999999999" customHeight="1" x14ac:dyDescent="0.35">
      <c r="B6" s="6" t="s">
        <v>1</v>
      </c>
      <c r="C6" s="5">
        <v>44884.598611111112</v>
      </c>
      <c r="D6" s="6" t="s">
        <v>26</v>
      </c>
      <c r="E6" s="6" t="s">
        <v>33</v>
      </c>
      <c r="F6" s="7">
        <v>6.99</v>
      </c>
      <c r="G6" s="8" t="str">
        <f>IF(F6&lt;5,"Inklusive Steuer","")</f>
        <v/>
      </c>
      <c r="H6" s="15"/>
    </row>
    <row r="7" spans="2:10" ht="20.149999999999999" customHeight="1" x14ac:dyDescent="0.35">
      <c r="B7" s="6" t="s">
        <v>2</v>
      </c>
      <c r="C7" s="5">
        <v>44884.598611111112</v>
      </c>
      <c r="D7" s="6" t="s">
        <v>26</v>
      </c>
      <c r="E7" s="6" t="s">
        <v>34</v>
      </c>
      <c r="F7" s="7">
        <v>2.5</v>
      </c>
      <c r="G7" s="8" t="str">
        <f>IF(F7&lt;5,"Inklusive Steuer","")</f>
        <v>Inklusive Steuer</v>
      </c>
      <c r="H7" s="15" t="s">
        <v>101</v>
      </c>
      <c r="J7" s="2"/>
    </row>
    <row r="8" spans="2:10" ht="20.149999999999999" customHeight="1" x14ac:dyDescent="0.35">
      <c r="B8" s="6" t="s">
        <v>3</v>
      </c>
      <c r="C8" s="5">
        <v>44884.598611111112</v>
      </c>
      <c r="D8" s="6" t="s">
        <v>26</v>
      </c>
      <c r="E8" s="6" t="s">
        <v>33</v>
      </c>
      <c r="F8" s="7">
        <v>8.99</v>
      </c>
      <c r="G8" s="8" t="str">
        <f>IF(F8&lt;5,"f32*0.1","")</f>
        <v/>
      </c>
      <c r="H8" s="15" t="s">
        <v>95</v>
      </c>
    </row>
    <row r="9" spans="2:10" ht="20.149999999999999" customHeight="1" x14ac:dyDescent="0.35">
      <c r="B9" s="6" t="s">
        <v>4</v>
      </c>
      <c r="C9" s="5">
        <v>44884.619444444441</v>
      </c>
      <c r="D9" s="6" t="s">
        <v>27</v>
      </c>
      <c r="E9" s="6" t="s">
        <v>33</v>
      </c>
      <c r="F9" s="7">
        <v>12.99</v>
      </c>
      <c r="G9" s="8" t="str">
        <f t="shared" ref="G7:G28" si="0">IF(F9&lt;5,"Inklusive Steuer","")</f>
        <v/>
      </c>
      <c r="H9" s="15" t="s">
        <v>95</v>
      </c>
    </row>
    <row r="10" spans="2:10" ht="20.149999999999999" customHeight="1" x14ac:dyDescent="0.35">
      <c r="B10" s="6" t="s">
        <v>5</v>
      </c>
      <c r="C10" s="5">
        <v>44884.640277777777</v>
      </c>
      <c r="D10" s="6" t="s">
        <v>26</v>
      </c>
      <c r="E10" s="6" t="s">
        <v>35</v>
      </c>
      <c r="F10" s="7">
        <v>5.99</v>
      </c>
      <c r="G10" s="8" t="str">
        <f t="shared" si="0"/>
        <v/>
      </c>
      <c r="H10" s="15" t="s">
        <v>95</v>
      </c>
    </row>
    <row r="11" spans="2:10" ht="20.149999999999999" customHeight="1" x14ac:dyDescent="0.35">
      <c r="B11" s="6" t="s">
        <v>6</v>
      </c>
      <c r="C11" s="5">
        <v>44884.640277777777</v>
      </c>
      <c r="D11" s="6" t="s">
        <v>27</v>
      </c>
      <c r="E11" s="6" t="s">
        <v>36</v>
      </c>
      <c r="F11" s="7">
        <v>5.99</v>
      </c>
      <c r="G11" s="8" t="str">
        <f t="shared" si="0"/>
        <v/>
      </c>
      <c r="H11" s="15" t="s">
        <v>95</v>
      </c>
    </row>
    <row r="12" spans="2:10" ht="20.149999999999999" customHeight="1" x14ac:dyDescent="0.35">
      <c r="B12" s="6" t="s">
        <v>9</v>
      </c>
      <c r="C12" s="5">
        <v>44884.640277777777</v>
      </c>
      <c r="D12" s="6" t="s">
        <v>27</v>
      </c>
      <c r="E12" s="6" t="s">
        <v>36</v>
      </c>
      <c r="F12" s="7">
        <v>5.99</v>
      </c>
      <c r="G12" s="8" t="str">
        <f t="shared" si="0"/>
        <v/>
      </c>
      <c r="H12" s="15" t="s">
        <v>95</v>
      </c>
    </row>
    <row r="13" spans="2:10" ht="20.149999999999999" customHeight="1" x14ac:dyDescent="0.35">
      <c r="B13" s="6" t="s">
        <v>10</v>
      </c>
      <c r="C13" s="5">
        <v>44884.640972222223</v>
      </c>
      <c r="D13" s="6" t="s">
        <v>27</v>
      </c>
      <c r="E13" s="6" t="s">
        <v>36</v>
      </c>
      <c r="F13" s="7">
        <v>5.99</v>
      </c>
      <c r="G13" s="8" t="str">
        <f t="shared" si="0"/>
        <v/>
      </c>
      <c r="H13" s="15" t="s">
        <v>95</v>
      </c>
    </row>
    <row r="14" spans="2:10" ht="20.149999999999999" customHeight="1" x14ac:dyDescent="0.35">
      <c r="B14" s="6" t="s">
        <v>11</v>
      </c>
      <c r="C14" s="5">
        <v>44884.640972222223</v>
      </c>
      <c r="D14" s="6" t="s">
        <v>27</v>
      </c>
      <c r="E14" s="6" t="s">
        <v>36</v>
      </c>
      <c r="F14" s="7">
        <v>5.99</v>
      </c>
      <c r="G14" s="8" t="str">
        <f t="shared" si="0"/>
        <v/>
      </c>
      <c r="H14" s="15" t="s">
        <v>95</v>
      </c>
    </row>
    <row r="15" spans="2:10" ht="20.149999999999999" customHeight="1" x14ac:dyDescent="0.35">
      <c r="B15" s="6" t="s">
        <v>12</v>
      </c>
      <c r="C15" s="5">
        <v>44884.649305555555</v>
      </c>
      <c r="D15" s="6" t="s">
        <v>28</v>
      </c>
      <c r="E15" s="6" t="s">
        <v>37</v>
      </c>
      <c r="F15" s="7">
        <v>7.99</v>
      </c>
      <c r="G15" s="8" t="str">
        <f t="shared" si="0"/>
        <v/>
      </c>
      <c r="H15" s="15" t="s">
        <v>95</v>
      </c>
    </row>
    <row r="16" spans="2:10" ht="20.149999999999999" customHeight="1" x14ac:dyDescent="0.35">
      <c r="B16" s="6" t="s">
        <v>13</v>
      </c>
      <c r="C16" s="5">
        <v>44884.65</v>
      </c>
      <c r="D16" s="6" t="s">
        <v>28</v>
      </c>
      <c r="E16" s="6" t="s">
        <v>34</v>
      </c>
      <c r="F16" s="7">
        <v>2.99</v>
      </c>
      <c r="G16" s="8" t="str">
        <f t="shared" si="0"/>
        <v>Inklusive Steuer</v>
      </c>
      <c r="H16" s="15" t="s">
        <v>101</v>
      </c>
    </row>
    <row r="17" spans="2:8" ht="20.149999999999999" customHeight="1" x14ac:dyDescent="0.35">
      <c r="B17" s="6" t="s">
        <v>14</v>
      </c>
      <c r="C17" s="5">
        <v>44884.65625</v>
      </c>
      <c r="D17" s="6" t="s">
        <v>38</v>
      </c>
      <c r="E17" s="6" t="s">
        <v>33</v>
      </c>
      <c r="F17" s="7">
        <v>12.99</v>
      </c>
      <c r="G17" s="8" t="str">
        <f t="shared" si="0"/>
        <v/>
      </c>
      <c r="H17" s="15" t="s">
        <v>95</v>
      </c>
    </row>
    <row r="18" spans="2:8" ht="20.149999999999999" customHeight="1" x14ac:dyDescent="0.35">
      <c r="B18" s="6" t="s">
        <v>15</v>
      </c>
      <c r="C18" s="5">
        <v>44884.65625</v>
      </c>
      <c r="D18" s="6" t="s">
        <v>38</v>
      </c>
      <c r="E18" s="6" t="s">
        <v>34</v>
      </c>
      <c r="F18" s="7">
        <v>1.5</v>
      </c>
      <c r="G18" s="8" t="str">
        <f t="shared" si="0"/>
        <v>Inklusive Steuer</v>
      </c>
      <c r="H18" s="15" t="s">
        <v>101</v>
      </c>
    </row>
    <row r="19" spans="2:8" ht="20.149999999999999" customHeight="1" x14ac:dyDescent="0.35">
      <c r="B19" s="6" t="s">
        <v>16</v>
      </c>
      <c r="C19" s="5">
        <v>44884.663194444445</v>
      </c>
      <c r="D19" s="6" t="s">
        <v>38</v>
      </c>
      <c r="E19" s="6" t="s">
        <v>36</v>
      </c>
      <c r="F19" s="7">
        <v>4.99</v>
      </c>
      <c r="G19" s="8" t="str">
        <f t="shared" si="0"/>
        <v>Inklusive Steuer</v>
      </c>
      <c r="H19" s="15" t="s">
        <v>101</v>
      </c>
    </row>
    <row r="20" spans="2:8" ht="20.149999999999999" customHeight="1" x14ac:dyDescent="0.35">
      <c r="B20" s="6" t="s">
        <v>17</v>
      </c>
      <c r="C20" s="5">
        <v>44884.664583333331</v>
      </c>
      <c r="D20" s="6" t="s">
        <v>29</v>
      </c>
      <c r="E20" s="6" t="s">
        <v>36</v>
      </c>
      <c r="F20" s="7">
        <v>5.99</v>
      </c>
      <c r="G20" s="8" t="str">
        <f>IF(F20&lt;5,"Inklusive Steuer","")</f>
        <v/>
      </c>
      <c r="H20" s="15" t="s">
        <v>95</v>
      </c>
    </row>
    <row r="21" spans="2:8" ht="20.149999999999999" customHeight="1" x14ac:dyDescent="0.35">
      <c r="B21" s="6" t="s">
        <v>18</v>
      </c>
      <c r="C21" s="5">
        <v>44884.664583333331</v>
      </c>
      <c r="D21" s="6" t="s">
        <v>29</v>
      </c>
      <c r="E21" s="6" t="s">
        <v>33</v>
      </c>
      <c r="F21" s="7">
        <v>12.99</v>
      </c>
      <c r="G21" s="8" t="str">
        <f t="shared" si="0"/>
        <v/>
      </c>
      <c r="H21" s="15" t="s">
        <v>95</v>
      </c>
    </row>
    <row r="22" spans="2:8" ht="20.149999999999999" customHeight="1" x14ac:dyDescent="0.35">
      <c r="B22" s="6" t="s">
        <v>19</v>
      </c>
      <c r="C22" s="5">
        <v>44884.664583333331</v>
      </c>
      <c r="D22" s="6" t="s">
        <v>29</v>
      </c>
      <c r="E22" s="6" t="s">
        <v>33</v>
      </c>
      <c r="F22" s="7">
        <v>9.99</v>
      </c>
      <c r="G22" s="8" t="str">
        <f t="shared" si="0"/>
        <v/>
      </c>
      <c r="H22" s="15" t="s">
        <v>95</v>
      </c>
    </row>
    <row r="23" spans="2:8" ht="20.149999999999999" customHeight="1" x14ac:dyDescent="0.35">
      <c r="B23" s="6" t="s">
        <v>20</v>
      </c>
      <c r="C23" s="5">
        <v>44884.664583333331</v>
      </c>
      <c r="D23" s="6" t="s">
        <v>29</v>
      </c>
      <c r="E23" s="6" t="s">
        <v>33</v>
      </c>
      <c r="F23" s="7">
        <v>9.99</v>
      </c>
      <c r="G23" s="8" t="str">
        <f t="shared" si="0"/>
        <v/>
      </c>
      <c r="H23" s="15" t="s">
        <v>95</v>
      </c>
    </row>
    <row r="24" spans="2:8" ht="20.149999999999999" customHeight="1" x14ac:dyDescent="0.35">
      <c r="B24" s="6" t="s">
        <v>21</v>
      </c>
      <c r="C24" s="5">
        <v>44884.664583333331</v>
      </c>
      <c r="D24" s="6" t="s">
        <v>29</v>
      </c>
      <c r="E24" s="6" t="s">
        <v>34</v>
      </c>
      <c r="F24" s="7">
        <v>2.99</v>
      </c>
      <c r="G24" s="8" t="str">
        <f t="shared" si="0"/>
        <v>Inklusive Steuer</v>
      </c>
      <c r="H24" s="15" t="s">
        <v>101</v>
      </c>
    </row>
    <row r="25" spans="2:8" ht="20.149999999999999" customHeight="1" x14ac:dyDescent="0.35">
      <c r="B25" s="6" t="s">
        <v>22</v>
      </c>
      <c r="C25" s="5">
        <v>44884.684027777781</v>
      </c>
      <c r="D25" s="6" t="s">
        <v>30</v>
      </c>
      <c r="E25" s="6" t="s">
        <v>39</v>
      </c>
      <c r="F25" s="7">
        <v>1.99</v>
      </c>
      <c r="G25" s="8" t="str">
        <f t="shared" si="0"/>
        <v>Inklusive Steuer</v>
      </c>
      <c r="H25" s="15" t="s">
        <v>101</v>
      </c>
    </row>
    <row r="26" spans="2:8" ht="20.149999999999999" customHeight="1" x14ac:dyDescent="0.35">
      <c r="B26" s="6" t="s">
        <v>23</v>
      </c>
      <c r="C26" s="5">
        <v>44884.697916666664</v>
      </c>
      <c r="D26" s="6" t="s">
        <v>31</v>
      </c>
      <c r="E26" s="6" t="s">
        <v>33</v>
      </c>
      <c r="F26" s="7">
        <v>7.99</v>
      </c>
      <c r="G26" s="8" t="str">
        <f t="shared" si="0"/>
        <v/>
      </c>
      <c r="H26" s="15" t="s">
        <v>95</v>
      </c>
    </row>
    <row r="27" spans="2:8" ht="20.149999999999999" customHeight="1" x14ac:dyDescent="0.35">
      <c r="B27" s="6" t="s">
        <v>24</v>
      </c>
      <c r="C27" s="5">
        <v>44884.697916666664</v>
      </c>
      <c r="D27" s="6" t="s">
        <v>31</v>
      </c>
      <c r="E27" s="6" t="s">
        <v>35</v>
      </c>
      <c r="F27" s="7">
        <v>5.99</v>
      </c>
      <c r="G27" s="8" t="str">
        <f t="shared" si="0"/>
        <v/>
      </c>
      <c r="H27" s="15" t="s">
        <v>95</v>
      </c>
    </row>
    <row r="28" spans="2:8" ht="20.149999999999999" customHeight="1" x14ac:dyDescent="0.35">
      <c r="B28" s="6" t="s">
        <v>25</v>
      </c>
      <c r="C28" s="5">
        <v>44884.699305555558</v>
      </c>
      <c r="D28" s="6" t="s">
        <v>31</v>
      </c>
      <c r="E28" s="6" t="s">
        <v>34</v>
      </c>
      <c r="F28" s="7">
        <v>2.99</v>
      </c>
      <c r="G28" s="8" t="str">
        <f t="shared" si="0"/>
        <v>Inklusive Steuer</v>
      </c>
      <c r="H28" s="15" t="s">
        <v>101</v>
      </c>
    </row>
    <row r="30" spans="2:8" ht="20.149999999999999" customHeight="1" x14ac:dyDescent="0.35">
      <c r="B30" s="13" t="s">
        <v>43</v>
      </c>
    </row>
    <row r="31" spans="2:8" ht="20.149999999999999" customHeight="1" x14ac:dyDescent="0.35">
      <c r="B31" s="3" t="s">
        <v>42</v>
      </c>
      <c r="C31" s="3" t="s">
        <v>8</v>
      </c>
      <c r="D31" s="3" t="s">
        <v>7</v>
      </c>
      <c r="E31" s="3" t="s">
        <v>32</v>
      </c>
      <c r="F31" s="3" t="s">
        <v>40</v>
      </c>
      <c r="G31" s="20" t="s">
        <v>44</v>
      </c>
      <c r="H31" s="14" t="s">
        <v>94</v>
      </c>
    </row>
    <row r="32" spans="2:8" ht="20.149999999999999" customHeight="1" x14ac:dyDescent="0.35">
      <c r="B32" s="6" t="s">
        <v>1</v>
      </c>
      <c r="C32" s="5">
        <v>44884.598611111112</v>
      </c>
      <c r="D32" s="6" t="s">
        <v>26</v>
      </c>
      <c r="E32" s="6" t="s">
        <v>33</v>
      </c>
      <c r="F32" s="7">
        <v>6.99</v>
      </c>
      <c r="G32" s="21" t="str">
        <f>IF(F32&gt;5,"$"&amp;F32*0.1,"")</f>
        <v>$0,699</v>
      </c>
      <c r="H32" s="16">
        <v>0.69900000000000007</v>
      </c>
    </row>
    <row r="33" spans="2:8" ht="20.149999999999999" customHeight="1" x14ac:dyDescent="0.35">
      <c r="B33" s="6" t="s">
        <v>2</v>
      </c>
      <c r="C33" s="5">
        <v>44884.598611111112</v>
      </c>
      <c r="D33" s="6" t="s">
        <v>26</v>
      </c>
      <c r="E33" s="6" t="s">
        <v>34</v>
      </c>
      <c r="F33" s="7">
        <v>2.5</v>
      </c>
      <c r="G33" s="21" t="str">
        <f t="shared" ref="G33:G54" si="1">IF(F33&gt;5,"$"&amp;F33*0.1,"")</f>
        <v/>
      </c>
      <c r="H33" s="16" t="s">
        <v>95</v>
      </c>
    </row>
    <row r="34" spans="2:8" ht="20.149999999999999" customHeight="1" x14ac:dyDescent="0.35">
      <c r="B34" s="6" t="s">
        <v>3</v>
      </c>
      <c r="C34" s="5">
        <v>44884.598611111112</v>
      </c>
      <c r="D34" s="6" t="s">
        <v>26</v>
      </c>
      <c r="E34" s="6" t="s">
        <v>33</v>
      </c>
      <c r="F34" s="7">
        <v>8.99</v>
      </c>
      <c r="G34" s="21" t="str">
        <f t="shared" si="1"/>
        <v>$0,899</v>
      </c>
      <c r="H34" s="16">
        <v>0.89900000000000002</v>
      </c>
    </row>
    <row r="35" spans="2:8" ht="20.149999999999999" customHeight="1" x14ac:dyDescent="0.35">
      <c r="B35" s="6" t="s">
        <v>4</v>
      </c>
      <c r="C35" s="5">
        <v>44884.619444444441</v>
      </c>
      <c r="D35" s="6" t="s">
        <v>27</v>
      </c>
      <c r="E35" s="6" t="s">
        <v>33</v>
      </c>
      <c r="F35" s="7">
        <v>12.99</v>
      </c>
      <c r="G35" s="21" t="str">
        <f t="shared" si="1"/>
        <v>$1,299</v>
      </c>
      <c r="H35" s="16">
        <v>1.2990000000000002</v>
      </c>
    </row>
    <row r="36" spans="2:8" ht="20.149999999999999" customHeight="1" x14ac:dyDescent="0.35">
      <c r="B36" s="6" t="s">
        <v>5</v>
      </c>
      <c r="C36" s="5">
        <v>44884.640277777777</v>
      </c>
      <c r="D36" s="6" t="s">
        <v>26</v>
      </c>
      <c r="E36" s="6" t="s">
        <v>35</v>
      </c>
      <c r="F36" s="7">
        <v>5.99</v>
      </c>
      <c r="G36" s="21" t="str">
        <f t="shared" si="1"/>
        <v>$0,599</v>
      </c>
      <c r="H36" s="16">
        <v>0.59900000000000009</v>
      </c>
    </row>
    <row r="37" spans="2:8" ht="20.149999999999999" customHeight="1" x14ac:dyDescent="0.35">
      <c r="B37" s="6" t="s">
        <v>6</v>
      </c>
      <c r="C37" s="5">
        <v>44884.640277777777</v>
      </c>
      <c r="D37" s="6" t="s">
        <v>27</v>
      </c>
      <c r="E37" s="6" t="s">
        <v>36</v>
      </c>
      <c r="F37" s="7">
        <v>5.99</v>
      </c>
      <c r="G37" s="21" t="str">
        <f t="shared" si="1"/>
        <v>$0,599</v>
      </c>
      <c r="H37" s="16">
        <v>0.59900000000000009</v>
      </c>
    </row>
    <row r="38" spans="2:8" ht="20.149999999999999" customHeight="1" x14ac:dyDescent="0.35">
      <c r="B38" s="6" t="s">
        <v>9</v>
      </c>
      <c r="C38" s="5">
        <v>44884.640277777777</v>
      </c>
      <c r="D38" s="6" t="s">
        <v>27</v>
      </c>
      <c r="E38" s="6" t="s">
        <v>36</v>
      </c>
      <c r="F38" s="7">
        <v>5.99</v>
      </c>
      <c r="G38" s="21" t="str">
        <f t="shared" si="1"/>
        <v>$0,599</v>
      </c>
      <c r="H38" s="16">
        <v>0.59900000000000009</v>
      </c>
    </row>
    <row r="39" spans="2:8" ht="20.149999999999999" customHeight="1" x14ac:dyDescent="0.35">
      <c r="B39" s="6" t="s">
        <v>10</v>
      </c>
      <c r="C39" s="5">
        <v>44884.640972222223</v>
      </c>
      <c r="D39" s="6" t="s">
        <v>27</v>
      </c>
      <c r="E39" s="6" t="s">
        <v>36</v>
      </c>
      <c r="F39" s="7">
        <v>5.99</v>
      </c>
      <c r="G39" s="21" t="str">
        <f t="shared" si="1"/>
        <v>$0,599</v>
      </c>
      <c r="H39" s="16">
        <v>0.59900000000000009</v>
      </c>
    </row>
    <row r="40" spans="2:8" ht="20.149999999999999" customHeight="1" x14ac:dyDescent="0.35">
      <c r="B40" s="6" t="s">
        <v>11</v>
      </c>
      <c r="C40" s="5">
        <v>44884.640972222223</v>
      </c>
      <c r="D40" s="6" t="s">
        <v>27</v>
      </c>
      <c r="E40" s="6" t="s">
        <v>36</v>
      </c>
      <c r="F40" s="7">
        <v>5.99</v>
      </c>
      <c r="G40" s="21" t="str">
        <f t="shared" si="1"/>
        <v>$0,599</v>
      </c>
      <c r="H40" s="16">
        <v>0.59900000000000009</v>
      </c>
    </row>
    <row r="41" spans="2:8" ht="20.149999999999999" customHeight="1" x14ac:dyDescent="0.35">
      <c r="B41" s="6" t="s">
        <v>12</v>
      </c>
      <c r="C41" s="5">
        <v>44884.649305555555</v>
      </c>
      <c r="D41" s="6" t="s">
        <v>28</v>
      </c>
      <c r="E41" s="6" t="s">
        <v>37</v>
      </c>
      <c r="F41" s="7">
        <v>7.99</v>
      </c>
      <c r="G41" s="21" t="str">
        <f t="shared" si="1"/>
        <v>$0,799</v>
      </c>
      <c r="H41" s="16">
        <v>0.79900000000000004</v>
      </c>
    </row>
    <row r="42" spans="2:8" ht="20.149999999999999" customHeight="1" x14ac:dyDescent="0.35">
      <c r="B42" s="6" t="s">
        <v>13</v>
      </c>
      <c r="C42" s="5">
        <v>44884.65</v>
      </c>
      <c r="D42" s="6" t="s">
        <v>28</v>
      </c>
      <c r="E42" s="6" t="s">
        <v>34</v>
      </c>
      <c r="F42" s="7">
        <v>2.99</v>
      </c>
      <c r="G42" s="21" t="str">
        <f t="shared" si="1"/>
        <v/>
      </c>
      <c r="H42" s="16" t="s">
        <v>95</v>
      </c>
    </row>
    <row r="43" spans="2:8" ht="20.149999999999999" customHeight="1" x14ac:dyDescent="0.35">
      <c r="B43" s="6" t="s">
        <v>14</v>
      </c>
      <c r="C43" s="5">
        <v>44884.65625</v>
      </c>
      <c r="D43" s="6" t="s">
        <v>38</v>
      </c>
      <c r="E43" s="6" t="s">
        <v>33</v>
      </c>
      <c r="F43" s="7">
        <v>12.99</v>
      </c>
      <c r="G43" s="21" t="str">
        <f t="shared" si="1"/>
        <v>$1,299</v>
      </c>
      <c r="H43" s="16">
        <v>1.2990000000000002</v>
      </c>
    </row>
    <row r="44" spans="2:8" ht="20.149999999999999" customHeight="1" x14ac:dyDescent="0.35">
      <c r="B44" s="6" t="s">
        <v>15</v>
      </c>
      <c r="C44" s="5">
        <v>44884.65625</v>
      </c>
      <c r="D44" s="6" t="s">
        <v>38</v>
      </c>
      <c r="E44" s="6" t="s">
        <v>34</v>
      </c>
      <c r="F44" s="7">
        <v>1.5</v>
      </c>
      <c r="G44" s="21" t="str">
        <f t="shared" si="1"/>
        <v/>
      </c>
      <c r="H44" s="16" t="s">
        <v>95</v>
      </c>
    </row>
    <row r="45" spans="2:8" ht="20.149999999999999" customHeight="1" x14ac:dyDescent="0.35">
      <c r="B45" s="6" t="s">
        <v>16</v>
      </c>
      <c r="C45" s="5">
        <v>44884.663194444445</v>
      </c>
      <c r="D45" s="6" t="s">
        <v>38</v>
      </c>
      <c r="E45" s="6" t="s">
        <v>36</v>
      </c>
      <c r="F45" s="7">
        <v>4.99</v>
      </c>
      <c r="G45" s="21" t="str">
        <f t="shared" si="1"/>
        <v/>
      </c>
      <c r="H45" s="16" t="s">
        <v>95</v>
      </c>
    </row>
    <row r="46" spans="2:8" ht="20.149999999999999" customHeight="1" x14ac:dyDescent="0.35">
      <c r="B46" s="6" t="s">
        <v>17</v>
      </c>
      <c r="C46" s="5">
        <v>44884.664583333331</v>
      </c>
      <c r="D46" s="6" t="s">
        <v>29</v>
      </c>
      <c r="E46" s="6" t="s">
        <v>36</v>
      </c>
      <c r="F46" s="7">
        <v>5.99</v>
      </c>
      <c r="G46" s="21" t="str">
        <f t="shared" si="1"/>
        <v>$0,599</v>
      </c>
      <c r="H46" s="16">
        <v>0.59900000000000009</v>
      </c>
    </row>
    <row r="47" spans="2:8" ht="20.149999999999999" customHeight="1" x14ac:dyDescent="0.35">
      <c r="B47" s="6" t="s">
        <v>18</v>
      </c>
      <c r="C47" s="5">
        <v>44884.664583333331</v>
      </c>
      <c r="D47" s="6" t="s">
        <v>29</v>
      </c>
      <c r="E47" s="6" t="s">
        <v>33</v>
      </c>
      <c r="F47" s="7">
        <v>12.99</v>
      </c>
      <c r="G47" s="21" t="str">
        <f t="shared" si="1"/>
        <v>$1,299</v>
      </c>
      <c r="H47" s="16">
        <v>1.2990000000000002</v>
      </c>
    </row>
    <row r="48" spans="2:8" ht="20.149999999999999" customHeight="1" x14ac:dyDescent="0.35">
      <c r="B48" s="6" t="s">
        <v>19</v>
      </c>
      <c r="C48" s="5">
        <v>44884.664583333331</v>
      </c>
      <c r="D48" s="6" t="s">
        <v>29</v>
      </c>
      <c r="E48" s="6" t="s">
        <v>33</v>
      </c>
      <c r="F48" s="7">
        <v>9.99</v>
      </c>
      <c r="G48" s="21" t="str">
        <f t="shared" si="1"/>
        <v>$0,999</v>
      </c>
      <c r="H48" s="16">
        <v>0.99900000000000011</v>
      </c>
    </row>
    <row r="49" spans="2:8" ht="20.149999999999999" customHeight="1" x14ac:dyDescent="0.35">
      <c r="B49" s="6" t="s">
        <v>20</v>
      </c>
      <c r="C49" s="5">
        <v>44884.664583333331</v>
      </c>
      <c r="D49" s="6" t="s">
        <v>29</v>
      </c>
      <c r="E49" s="6" t="s">
        <v>33</v>
      </c>
      <c r="F49" s="7">
        <v>9.99</v>
      </c>
      <c r="G49" s="21" t="str">
        <f t="shared" si="1"/>
        <v>$0,999</v>
      </c>
      <c r="H49" s="16">
        <v>0.99900000000000011</v>
      </c>
    </row>
    <row r="50" spans="2:8" ht="20.149999999999999" customHeight="1" x14ac:dyDescent="0.35">
      <c r="B50" s="6" t="s">
        <v>21</v>
      </c>
      <c r="C50" s="5">
        <v>44884.664583333331</v>
      </c>
      <c r="D50" s="6" t="s">
        <v>29</v>
      </c>
      <c r="E50" s="6" t="s">
        <v>34</v>
      </c>
      <c r="F50" s="7">
        <v>2.99</v>
      </c>
      <c r="G50" s="21" t="str">
        <f t="shared" si="1"/>
        <v/>
      </c>
      <c r="H50" s="16" t="s">
        <v>95</v>
      </c>
    </row>
    <row r="51" spans="2:8" ht="20.149999999999999" customHeight="1" x14ac:dyDescent="0.35">
      <c r="B51" s="6" t="s">
        <v>22</v>
      </c>
      <c r="C51" s="5">
        <v>44884.684027777781</v>
      </c>
      <c r="D51" s="6" t="s">
        <v>30</v>
      </c>
      <c r="E51" s="6" t="s">
        <v>39</v>
      </c>
      <c r="F51" s="7">
        <v>1.99</v>
      </c>
      <c r="G51" s="21" t="str">
        <f t="shared" si="1"/>
        <v/>
      </c>
      <c r="H51" s="16" t="s">
        <v>95</v>
      </c>
    </row>
    <row r="52" spans="2:8" ht="20.149999999999999" customHeight="1" x14ac:dyDescent="0.35">
      <c r="B52" s="6" t="s">
        <v>23</v>
      </c>
      <c r="C52" s="5">
        <v>44884.697916666664</v>
      </c>
      <c r="D52" s="6" t="s">
        <v>31</v>
      </c>
      <c r="E52" s="6" t="s">
        <v>33</v>
      </c>
      <c r="F52" s="7">
        <v>7.99</v>
      </c>
      <c r="G52" s="21" t="str">
        <f t="shared" si="1"/>
        <v>$0,799</v>
      </c>
      <c r="H52" s="16">
        <v>0.79900000000000004</v>
      </c>
    </row>
    <row r="53" spans="2:8" ht="20.149999999999999" customHeight="1" x14ac:dyDescent="0.35">
      <c r="B53" s="6" t="s">
        <v>24</v>
      </c>
      <c r="C53" s="5">
        <v>44884.697916666664</v>
      </c>
      <c r="D53" s="6" t="s">
        <v>31</v>
      </c>
      <c r="E53" s="6" t="s">
        <v>35</v>
      </c>
      <c r="F53" s="7">
        <v>5.99</v>
      </c>
      <c r="G53" s="21" t="str">
        <f t="shared" si="1"/>
        <v>$0,599</v>
      </c>
      <c r="H53" s="16">
        <v>0.59900000000000009</v>
      </c>
    </row>
    <row r="54" spans="2:8" ht="20.149999999999999" customHeight="1" x14ac:dyDescent="0.35">
      <c r="B54" s="6" t="s">
        <v>25</v>
      </c>
      <c r="C54" s="5">
        <v>44884.699305555558</v>
      </c>
      <c r="D54" s="6" t="s">
        <v>31</v>
      </c>
      <c r="E54" s="6" t="s">
        <v>34</v>
      </c>
      <c r="F54" s="7">
        <v>2.99</v>
      </c>
      <c r="G54" s="21" t="str">
        <f t="shared" si="1"/>
        <v/>
      </c>
      <c r="H54" s="16" t="s">
        <v>95</v>
      </c>
    </row>
    <row r="56" spans="2:8" ht="20.149999999999999" customHeight="1" x14ac:dyDescent="0.35">
      <c r="B56" s="13" t="s">
        <v>46</v>
      </c>
    </row>
    <row r="57" spans="2:8" ht="20.149999999999999" customHeight="1" x14ac:dyDescent="0.35">
      <c r="B57" s="3" t="s">
        <v>42</v>
      </c>
      <c r="C57" s="3" t="s">
        <v>8</v>
      </c>
      <c r="D57" s="3" t="s">
        <v>7</v>
      </c>
      <c r="E57" s="3" t="s">
        <v>32</v>
      </c>
      <c r="F57" s="3" t="s">
        <v>40</v>
      </c>
      <c r="G57" s="4" t="s">
        <v>45</v>
      </c>
      <c r="H57" s="14" t="s">
        <v>94</v>
      </c>
    </row>
    <row r="58" spans="2:8" ht="20.149999999999999" customHeight="1" x14ac:dyDescent="0.35">
      <c r="B58" s="6" t="s">
        <v>1</v>
      </c>
      <c r="C58" s="5">
        <v>44884.598611111112</v>
      </c>
      <c r="D58" s="6" t="s">
        <v>26</v>
      </c>
      <c r="E58" s="6" t="s">
        <v>33</v>
      </c>
      <c r="F58" s="7">
        <v>6.99</v>
      </c>
      <c r="G58" s="9" t="str">
        <f>IF(E58&lt;&gt;"Pizza", "", IF(F58&lt;7, "Small Pizza", IF(F58&lt;10, "Medium Pizza", "Large Pizza")))</f>
        <v>Small Pizza</v>
      </c>
      <c r="H58" s="16" t="s">
        <v>96</v>
      </c>
    </row>
    <row r="59" spans="2:8" ht="20.149999999999999" customHeight="1" x14ac:dyDescent="0.35">
      <c r="B59" s="6" t="s">
        <v>2</v>
      </c>
      <c r="C59" s="5">
        <v>44884.598611111112</v>
      </c>
      <c r="D59" s="6" t="s">
        <v>26</v>
      </c>
      <c r="E59" s="6" t="s">
        <v>34</v>
      </c>
      <c r="F59" s="7">
        <v>2.5</v>
      </c>
      <c r="G59" s="9" t="str">
        <f t="shared" ref="G59:G80" si="2">IF(E59&lt;&gt;"Pizza", "", IF(F59&lt;7, "Small Pizza", IF(F59&lt;10, "Medium Pizza", "Large Pizza")))</f>
        <v/>
      </c>
      <c r="H59" s="16" t="s">
        <v>95</v>
      </c>
    </row>
    <row r="60" spans="2:8" ht="20.149999999999999" customHeight="1" x14ac:dyDescent="0.35">
      <c r="B60" s="6" t="s">
        <v>3</v>
      </c>
      <c r="C60" s="5">
        <v>44884.598611111112</v>
      </c>
      <c r="D60" s="6" t="s">
        <v>26</v>
      </c>
      <c r="E60" s="6" t="s">
        <v>33</v>
      </c>
      <c r="F60" s="7">
        <v>8.99</v>
      </c>
      <c r="G60" s="9" t="str">
        <f t="shared" si="2"/>
        <v>Medium Pizza</v>
      </c>
      <c r="H60" s="16" t="s">
        <v>97</v>
      </c>
    </row>
    <row r="61" spans="2:8" ht="20.149999999999999" customHeight="1" x14ac:dyDescent="0.35">
      <c r="B61" s="6" t="s">
        <v>4</v>
      </c>
      <c r="C61" s="5">
        <v>44884.619444444441</v>
      </c>
      <c r="D61" s="6" t="s">
        <v>27</v>
      </c>
      <c r="E61" s="6" t="s">
        <v>33</v>
      </c>
      <c r="F61" s="7">
        <v>12.99</v>
      </c>
      <c r="G61" s="9" t="str">
        <f t="shared" si="2"/>
        <v>Large Pizza</v>
      </c>
      <c r="H61" s="16" t="s">
        <v>98</v>
      </c>
    </row>
    <row r="62" spans="2:8" ht="20.149999999999999" customHeight="1" x14ac:dyDescent="0.35">
      <c r="B62" s="6" t="s">
        <v>5</v>
      </c>
      <c r="C62" s="5">
        <v>44884.640277777777</v>
      </c>
      <c r="D62" s="6" t="s">
        <v>26</v>
      </c>
      <c r="E62" s="6" t="s">
        <v>35</v>
      </c>
      <c r="F62" s="7">
        <v>5.99</v>
      </c>
      <c r="G62" s="9" t="str">
        <f t="shared" si="2"/>
        <v/>
      </c>
      <c r="H62" s="16" t="s">
        <v>95</v>
      </c>
    </row>
    <row r="63" spans="2:8" ht="20.149999999999999" customHeight="1" x14ac:dyDescent="0.35">
      <c r="B63" s="6" t="s">
        <v>6</v>
      </c>
      <c r="C63" s="5">
        <v>44884.640277777777</v>
      </c>
      <c r="D63" s="6" t="s">
        <v>27</v>
      </c>
      <c r="E63" s="6" t="s">
        <v>36</v>
      </c>
      <c r="F63" s="7">
        <v>5.99</v>
      </c>
      <c r="G63" s="9" t="str">
        <f t="shared" si="2"/>
        <v/>
      </c>
      <c r="H63" s="16" t="s">
        <v>95</v>
      </c>
    </row>
    <row r="64" spans="2:8" ht="20.149999999999999" customHeight="1" x14ac:dyDescent="0.35">
      <c r="B64" s="6" t="s">
        <v>9</v>
      </c>
      <c r="C64" s="5">
        <v>44884.640277777777</v>
      </c>
      <c r="D64" s="6" t="s">
        <v>27</v>
      </c>
      <c r="E64" s="6" t="s">
        <v>36</v>
      </c>
      <c r="F64" s="7">
        <v>5.99</v>
      </c>
      <c r="G64" s="9" t="str">
        <f t="shared" si="2"/>
        <v/>
      </c>
      <c r="H64" s="16" t="s">
        <v>95</v>
      </c>
    </row>
    <row r="65" spans="2:8" ht="20.149999999999999" customHeight="1" x14ac:dyDescent="0.35">
      <c r="B65" s="6" t="s">
        <v>10</v>
      </c>
      <c r="C65" s="5">
        <v>44884.640972222223</v>
      </c>
      <c r="D65" s="6" t="s">
        <v>27</v>
      </c>
      <c r="E65" s="6" t="s">
        <v>36</v>
      </c>
      <c r="F65" s="7">
        <v>5.99</v>
      </c>
      <c r="G65" s="9" t="str">
        <f t="shared" si="2"/>
        <v/>
      </c>
      <c r="H65" s="16" t="s">
        <v>95</v>
      </c>
    </row>
    <row r="66" spans="2:8" ht="20.149999999999999" customHeight="1" x14ac:dyDescent="0.35">
      <c r="B66" s="6" t="s">
        <v>11</v>
      </c>
      <c r="C66" s="5">
        <v>44884.640972222223</v>
      </c>
      <c r="D66" s="6" t="s">
        <v>27</v>
      </c>
      <c r="E66" s="6" t="s">
        <v>36</v>
      </c>
      <c r="F66" s="7">
        <v>5.99</v>
      </c>
      <c r="G66" s="9" t="str">
        <f t="shared" si="2"/>
        <v/>
      </c>
      <c r="H66" s="16" t="s">
        <v>95</v>
      </c>
    </row>
    <row r="67" spans="2:8" ht="20.149999999999999" customHeight="1" x14ac:dyDescent="0.35">
      <c r="B67" s="6" t="s">
        <v>12</v>
      </c>
      <c r="C67" s="5">
        <v>44884.649305555555</v>
      </c>
      <c r="D67" s="6" t="s">
        <v>28</v>
      </c>
      <c r="E67" s="6" t="s">
        <v>37</v>
      </c>
      <c r="F67" s="7">
        <v>7.99</v>
      </c>
      <c r="G67" s="9" t="str">
        <f t="shared" si="2"/>
        <v/>
      </c>
      <c r="H67" s="16" t="s">
        <v>95</v>
      </c>
    </row>
    <row r="68" spans="2:8" ht="20.149999999999999" customHeight="1" x14ac:dyDescent="0.35">
      <c r="B68" s="6" t="s">
        <v>13</v>
      </c>
      <c r="C68" s="5">
        <v>44884.65</v>
      </c>
      <c r="D68" s="6" t="s">
        <v>28</v>
      </c>
      <c r="E68" s="6" t="s">
        <v>34</v>
      </c>
      <c r="F68" s="7">
        <v>2.99</v>
      </c>
      <c r="G68" s="9" t="str">
        <f t="shared" si="2"/>
        <v/>
      </c>
      <c r="H68" s="16" t="s">
        <v>95</v>
      </c>
    </row>
    <row r="69" spans="2:8" ht="20.149999999999999" customHeight="1" x14ac:dyDescent="0.35">
      <c r="B69" s="6" t="s">
        <v>14</v>
      </c>
      <c r="C69" s="5">
        <v>44884.65625</v>
      </c>
      <c r="D69" s="6" t="s">
        <v>38</v>
      </c>
      <c r="E69" s="6" t="s">
        <v>33</v>
      </c>
      <c r="F69" s="7">
        <v>12.99</v>
      </c>
      <c r="G69" s="9" t="str">
        <f t="shared" si="2"/>
        <v>Large Pizza</v>
      </c>
      <c r="H69" s="16" t="s">
        <v>98</v>
      </c>
    </row>
    <row r="70" spans="2:8" ht="20.149999999999999" customHeight="1" x14ac:dyDescent="0.35">
      <c r="B70" s="6" t="s">
        <v>15</v>
      </c>
      <c r="C70" s="5">
        <v>44884.65625</v>
      </c>
      <c r="D70" s="6" t="s">
        <v>38</v>
      </c>
      <c r="E70" s="6" t="s">
        <v>34</v>
      </c>
      <c r="F70" s="7">
        <v>1.5</v>
      </c>
      <c r="G70" s="9" t="str">
        <f t="shared" si="2"/>
        <v/>
      </c>
      <c r="H70" s="16" t="s">
        <v>95</v>
      </c>
    </row>
    <row r="71" spans="2:8" ht="20.149999999999999" customHeight="1" x14ac:dyDescent="0.35">
      <c r="B71" s="6" t="s">
        <v>16</v>
      </c>
      <c r="C71" s="5">
        <v>44884.663194444445</v>
      </c>
      <c r="D71" s="6" t="s">
        <v>38</v>
      </c>
      <c r="E71" s="6" t="s">
        <v>36</v>
      </c>
      <c r="F71" s="7">
        <v>4.99</v>
      </c>
      <c r="G71" s="9" t="str">
        <f t="shared" si="2"/>
        <v/>
      </c>
      <c r="H71" s="16" t="s">
        <v>95</v>
      </c>
    </row>
    <row r="72" spans="2:8" ht="20.149999999999999" customHeight="1" x14ac:dyDescent="0.35">
      <c r="B72" s="6" t="s">
        <v>17</v>
      </c>
      <c r="C72" s="5">
        <v>44884.664583333331</v>
      </c>
      <c r="D72" s="6" t="s">
        <v>29</v>
      </c>
      <c r="E72" s="6" t="s">
        <v>36</v>
      </c>
      <c r="F72" s="7">
        <v>5.99</v>
      </c>
      <c r="G72" s="9" t="str">
        <f t="shared" si="2"/>
        <v/>
      </c>
      <c r="H72" s="16" t="s">
        <v>95</v>
      </c>
    </row>
    <row r="73" spans="2:8" ht="20.149999999999999" customHeight="1" x14ac:dyDescent="0.35">
      <c r="B73" s="6" t="s">
        <v>18</v>
      </c>
      <c r="C73" s="5">
        <v>44884.664583333331</v>
      </c>
      <c r="D73" s="6" t="s">
        <v>29</v>
      </c>
      <c r="E73" s="6" t="s">
        <v>33</v>
      </c>
      <c r="F73" s="7">
        <v>12.99</v>
      </c>
      <c r="G73" s="9" t="str">
        <f t="shared" si="2"/>
        <v>Large Pizza</v>
      </c>
      <c r="H73" s="16" t="s">
        <v>98</v>
      </c>
    </row>
    <row r="74" spans="2:8" ht="20.149999999999999" customHeight="1" x14ac:dyDescent="0.35">
      <c r="B74" s="6" t="s">
        <v>19</v>
      </c>
      <c r="C74" s="5">
        <v>44884.664583333331</v>
      </c>
      <c r="D74" s="6" t="s">
        <v>29</v>
      </c>
      <c r="E74" s="6" t="s">
        <v>33</v>
      </c>
      <c r="F74" s="7">
        <v>9.99</v>
      </c>
      <c r="G74" s="9" t="str">
        <f t="shared" si="2"/>
        <v>Medium Pizza</v>
      </c>
      <c r="H74" s="16" t="s">
        <v>97</v>
      </c>
    </row>
    <row r="75" spans="2:8" ht="20.149999999999999" customHeight="1" x14ac:dyDescent="0.35">
      <c r="B75" s="6" t="s">
        <v>20</v>
      </c>
      <c r="C75" s="5">
        <v>44884.664583333331</v>
      </c>
      <c r="D75" s="6" t="s">
        <v>29</v>
      </c>
      <c r="E75" s="6" t="s">
        <v>33</v>
      </c>
      <c r="F75" s="7">
        <v>9.99</v>
      </c>
      <c r="G75" s="9" t="str">
        <f t="shared" si="2"/>
        <v>Medium Pizza</v>
      </c>
      <c r="H75" s="16" t="s">
        <v>97</v>
      </c>
    </row>
    <row r="76" spans="2:8" ht="20.149999999999999" customHeight="1" x14ac:dyDescent="0.35">
      <c r="B76" s="6" t="s">
        <v>21</v>
      </c>
      <c r="C76" s="5">
        <v>44884.664583333331</v>
      </c>
      <c r="D76" s="6" t="s">
        <v>29</v>
      </c>
      <c r="E76" s="6" t="s">
        <v>34</v>
      </c>
      <c r="F76" s="7">
        <v>2.99</v>
      </c>
      <c r="G76" s="9" t="str">
        <f t="shared" si="2"/>
        <v/>
      </c>
      <c r="H76" s="16" t="s">
        <v>95</v>
      </c>
    </row>
    <row r="77" spans="2:8" ht="20.149999999999999" customHeight="1" x14ac:dyDescent="0.35">
      <c r="B77" s="6" t="s">
        <v>22</v>
      </c>
      <c r="C77" s="5">
        <v>44884.684027777781</v>
      </c>
      <c r="D77" s="6" t="s">
        <v>30</v>
      </c>
      <c r="E77" s="6" t="s">
        <v>39</v>
      </c>
      <c r="F77" s="7">
        <v>1.99</v>
      </c>
      <c r="G77" s="9" t="str">
        <f t="shared" si="2"/>
        <v/>
      </c>
      <c r="H77" s="16" t="s">
        <v>95</v>
      </c>
    </row>
    <row r="78" spans="2:8" ht="20.149999999999999" customHeight="1" x14ac:dyDescent="0.35">
      <c r="B78" s="6" t="s">
        <v>23</v>
      </c>
      <c r="C78" s="5">
        <v>44884.697916666664</v>
      </c>
      <c r="D78" s="6" t="s">
        <v>31</v>
      </c>
      <c r="E78" s="6" t="s">
        <v>33</v>
      </c>
      <c r="F78" s="7">
        <v>7.99</v>
      </c>
      <c r="G78" s="9" t="str">
        <f t="shared" si="2"/>
        <v>Medium Pizza</v>
      </c>
      <c r="H78" s="16" t="s">
        <v>97</v>
      </c>
    </row>
    <row r="79" spans="2:8" ht="20.149999999999999" customHeight="1" x14ac:dyDescent="0.35">
      <c r="B79" s="6" t="s">
        <v>24</v>
      </c>
      <c r="C79" s="5">
        <v>44884.697916666664</v>
      </c>
      <c r="D79" s="6" t="s">
        <v>31</v>
      </c>
      <c r="E79" s="6" t="s">
        <v>35</v>
      </c>
      <c r="F79" s="7">
        <v>5.99</v>
      </c>
      <c r="G79" s="9" t="str">
        <f t="shared" si="2"/>
        <v/>
      </c>
      <c r="H79" s="16" t="s">
        <v>95</v>
      </c>
    </row>
    <row r="80" spans="2:8" ht="20.149999999999999" customHeight="1" x14ac:dyDescent="0.35">
      <c r="B80" s="6" t="s">
        <v>25</v>
      </c>
      <c r="C80" s="5">
        <v>44884.699305555558</v>
      </c>
      <c r="D80" s="6" t="s">
        <v>31</v>
      </c>
      <c r="E80" s="6" t="s">
        <v>34</v>
      </c>
      <c r="F80" s="7">
        <v>2.99</v>
      </c>
      <c r="G80" s="9" t="str">
        <f t="shared" si="2"/>
        <v/>
      </c>
      <c r="H80" s="16" t="s">
        <v>95</v>
      </c>
    </row>
    <row r="82" spans="2:8" ht="20.149999999999999" customHeight="1" x14ac:dyDescent="0.35">
      <c r="B82" s="13" t="s">
        <v>100</v>
      </c>
    </row>
    <row r="83" spans="2:8" ht="20.149999999999999" customHeight="1" x14ac:dyDescent="0.35">
      <c r="B83" s="3" t="s">
        <v>85</v>
      </c>
      <c r="C83" s="3" t="s">
        <v>80</v>
      </c>
      <c r="D83" s="3" t="s">
        <v>68</v>
      </c>
      <c r="E83" s="3" t="s">
        <v>69</v>
      </c>
      <c r="F83" s="3" t="s">
        <v>75</v>
      </c>
      <c r="G83" s="4" t="s">
        <v>70</v>
      </c>
      <c r="H83" s="14" t="s">
        <v>94</v>
      </c>
    </row>
    <row r="84" spans="2:8" ht="20.149999999999999" customHeight="1" x14ac:dyDescent="0.35">
      <c r="B84" s="6">
        <v>1</v>
      </c>
      <c r="C84" s="6" t="s">
        <v>81</v>
      </c>
      <c r="D84" s="6" t="s">
        <v>71</v>
      </c>
      <c r="E84" s="11">
        <v>1046700</v>
      </c>
      <c r="F84" s="6" t="s">
        <v>76</v>
      </c>
      <c r="G84" s="12" cm="1">
        <f t="array" ref="G84">IF(D84&gt;=1000000, 0.07, IF(D84&gt;=700000, 0.05, f(D84&gt;=500000, 0.03, 0)))</f>
        <v>7.0000000000000007E-2</v>
      </c>
      <c r="H84" s="17">
        <v>7.0000000000000007E-2</v>
      </c>
    </row>
    <row r="85" spans="2:8" ht="20.149999999999999" customHeight="1" x14ac:dyDescent="0.35">
      <c r="B85" s="6">
        <v>2</v>
      </c>
      <c r="C85" s="6" t="s">
        <v>81</v>
      </c>
      <c r="D85" s="6" t="s">
        <v>72</v>
      </c>
      <c r="E85" s="11">
        <v>680006</v>
      </c>
      <c r="F85" s="6" t="s">
        <v>77</v>
      </c>
      <c r="G85" s="12" cm="1">
        <f t="array" ref="G85">IF(D85&gt;=1000000, 0.07, IF(D85&gt;=700000, 0.05, f(D85&gt;=500000, 0.03, 0)))</f>
        <v>7.0000000000000007E-2</v>
      </c>
      <c r="H85" s="17">
        <v>0.03</v>
      </c>
    </row>
    <row r="86" spans="2:8" ht="20.149999999999999" customHeight="1" x14ac:dyDescent="0.35">
      <c r="B86" s="6">
        <v>3</v>
      </c>
      <c r="C86" s="6" t="s">
        <v>81</v>
      </c>
      <c r="D86" s="6" t="s">
        <v>52</v>
      </c>
      <c r="E86" s="11">
        <v>727370</v>
      </c>
      <c r="F86" s="6" t="s">
        <v>76</v>
      </c>
      <c r="G86" s="12" cm="1">
        <f t="array" ref="G86">IF(D86&gt;=1000000, 0.07, IF(D86&gt;=700000, 0.05, f(D86&gt;=500000, 0.03, 0)))</f>
        <v>7.0000000000000007E-2</v>
      </c>
      <c r="H86" s="17">
        <v>0.03</v>
      </c>
    </row>
    <row r="87" spans="2:8" ht="20.149999999999999" customHeight="1" x14ac:dyDescent="0.35">
      <c r="B87" s="6">
        <v>4</v>
      </c>
      <c r="C87" s="6" t="s">
        <v>81</v>
      </c>
      <c r="D87" s="6" t="s">
        <v>73</v>
      </c>
      <c r="E87" s="11">
        <v>500543</v>
      </c>
      <c r="F87" s="6" t="s">
        <v>77</v>
      </c>
      <c r="G87" s="12" cm="1">
        <f t="array" ref="G87">IF(D87&gt;=1000000, 0.07, IF(D87&gt;=700000, 0.05, f(D87&gt;=500000, 0.03, 0)))</f>
        <v>7.0000000000000007E-2</v>
      </c>
      <c r="H87" s="17">
        <v>0</v>
      </c>
    </row>
    <row r="88" spans="2:8" ht="20.149999999999999" customHeight="1" x14ac:dyDescent="0.35">
      <c r="B88" s="6">
        <v>5</v>
      </c>
      <c r="C88" s="6" t="s">
        <v>81</v>
      </c>
      <c r="D88" s="6" t="s">
        <v>54</v>
      </c>
      <c r="E88" s="11">
        <v>1004356</v>
      </c>
      <c r="F88" s="6" t="s">
        <v>78</v>
      </c>
      <c r="G88" s="12" cm="1">
        <f t="array" ref="G88">IF(D88&gt;=1000000, 0.07, IF(D88&gt;=700000, 0.05, f(D88&gt;=500000, 0.03, 0)))</f>
        <v>7.0000000000000007E-2</v>
      </c>
      <c r="H88" s="17">
        <v>7.0000000000000007E-2</v>
      </c>
    </row>
    <row r="89" spans="2:8" ht="20.149999999999999" customHeight="1" x14ac:dyDescent="0.35">
      <c r="B89" s="6">
        <v>6</v>
      </c>
      <c r="C89" s="6" t="s">
        <v>82</v>
      </c>
      <c r="D89" s="6" t="s">
        <v>74</v>
      </c>
      <c r="E89" s="11">
        <v>1168017</v>
      </c>
      <c r="F89" s="6" t="s">
        <v>79</v>
      </c>
      <c r="G89" s="12" cm="1">
        <f t="array" ref="G89">IF(D89&gt;=1000000, 0.07, IF(D89&gt;=700000, 0.05, f(D89&gt;=500000, 0.03, 0)))</f>
        <v>7.0000000000000007E-2</v>
      </c>
      <c r="H89" s="17">
        <v>7.0000000000000007E-2</v>
      </c>
    </row>
    <row r="90" spans="2:8" ht="20.149999999999999" customHeight="1" x14ac:dyDescent="0.35">
      <c r="B90" s="6">
        <v>7</v>
      </c>
      <c r="C90" s="6" t="s">
        <v>82</v>
      </c>
      <c r="D90" s="6" t="s">
        <v>29</v>
      </c>
      <c r="E90" s="11">
        <v>545785</v>
      </c>
      <c r="F90" s="6" t="s">
        <v>78</v>
      </c>
      <c r="G90" s="12" cm="1">
        <f t="array" ref="G90">IF(D90&gt;=1000000, 0.07, IF(D90&gt;=700000, 0.05, f(D90&gt;=500000, 0.03, 0)))</f>
        <v>7.0000000000000007E-2</v>
      </c>
      <c r="H90" s="17">
        <v>0</v>
      </c>
    </row>
    <row r="91" spans="2:8" ht="20.149999999999999" customHeight="1" x14ac:dyDescent="0.35">
      <c r="B91" s="6">
        <v>8</v>
      </c>
      <c r="C91" s="6" t="s">
        <v>82</v>
      </c>
      <c r="D91" s="6" t="s">
        <v>56</v>
      </c>
      <c r="E91" s="11">
        <v>755408</v>
      </c>
      <c r="F91" s="6" t="s">
        <v>79</v>
      </c>
      <c r="G91" s="12" cm="1">
        <f t="array" ref="G91">IF(D91&gt;=1000000, 0.07, IF(D91&gt;=700000, 0.05, f(D91&gt;=500000, 0.03, 0)))</f>
        <v>7.0000000000000007E-2</v>
      </c>
      <c r="H91" s="17">
        <v>0.05</v>
      </c>
    </row>
    <row r="92" spans="2:8" ht="20.149999999999999" customHeight="1" x14ac:dyDescent="0.35">
      <c r="B92" s="6">
        <v>9</v>
      </c>
      <c r="C92" s="6" t="s">
        <v>81</v>
      </c>
      <c r="D92" s="6" t="s">
        <v>28</v>
      </c>
      <c r="E92" s="11">
        <v>1100283</v>
      </c>
      <c r="F92" s="6" t="s">
        <v>79</v>
      </c>
      <c r="G92" s="12" cm="1">
        <f t="array" ref="G92">IF(D92&gt;=1000000, 0.07, IF(D92&gt;=700000, 0.05, f(D92&gt;=500000, 0.03, 0)))</f>
        <v>7.0000000000000007E-2</v>
      </c>
      <c r="H92" s="17">
        <v>7.0000000000000007E-2</v>
      </c>
    </row>
    <row r="93" spans="2:8" ht="20.149999999999999" customHeight="1" x14ac:dyDescent="0.35">
      <c r="B93" s="6">
        <v>10</v>
      </c>
      <c r="C93" s="6" t="s">
        <v>81</v>
      </c>
      <c r="D93" s="6" t="s">
        <v>30</v>
      </c>
      <c r="E93" s="11">
        <v>1132846</v>
      </c>
      <c r="F93" s="6" t="s">
        <v>78</v>
      </c>
      <c r="G93" s="12" cm="1">
        <f t="array" ref="G93">IF(D93&gt;=1000000, 0.07, IF(D93&gt;=700000, 0.05, f(D93&gt;=500000, 0.03, 0)))</f>
        <v>7.0000000000000007E-2</v>
      </c>
      <c r="H93" s="17">
        <v>7.0000000000000007E-2</v>
      </c>
    </row>
    <row r="94" spans="2:8" ht="20.149999999999999" customHeight="1" x14ac:dyDescent="0.35">
      <c r="B94" s="6">
        <v>11</v>
      </c>
      <c r="C94" s="6" t="s">
        <v>81</v>
      </c>
      <c r="D94" s="6" t="s">
        <v>31</v>
      </c>
      <c r="E94" s="11">
        <v>1101206</v>
      </c>
      <c r="F94" s="6" t="s">
        <v>79</v>
      </c>
      <c r="G94" s="12" cm="1">
        <f t="array" ref="G94">IF(D94&gt;=1000000, 0.07, IF(D94&gt;=700000, 0.05, f(D94&gt;=500000, 0.03, 0)))</f>
        <v>7.0000000000000007E-2</v>
      </c>
      <c r="H94" s="17">
        <v>7.0000000000000007E-2</v>
      </c>
    </row>
    <row r="95" spans="2:8" ht="20.149999999999999" customHeight="1" x14ac:dyDescent="0.35">
      <c r="B95" s="6">
        <v>12</v>
      </c>
      <c r="C95" s="6" t="s">
        <v>82</v>
      </c>
      <c r="D95" s="6" t="s">
        <v>57</v>
      </c>
      <c r="E95" s="11">
        <v>882264</v>
      </c>
      <c r="F95" s="6" t="s">
        <v>76</v>
      </c>
      <c r="G95" s="12" cm="1">
        <f t="array" ref="G95">IF(D95&gt;=1000000, 0.07, IF(D95&gt;=700000, 0.05, f(D95&gt;=500000, 0.03, 0)))</f>
        <v>7.0000000000000007E-2</v>
      </c>
      <c r="H95" s="17">
        <v>0.05</v>
      </c>
    </row>
    <row r="96" spans="2:8" ht="20.149999999999999" customHeight="1" x14ac:dyDescent="0.35">
      <c r="B96" s="6">
        <v>13</v>
      </c>
      <c r="C96" s="6" t="s">
        <v>83</v>
      </c>
      <c r="D96" s="6" t="s">
        <v>27</v>
      </c>
      <c r="E96" s="11">
        <v>1059305</v>
      </c>
      <c r="F96" s="6" t="s">
        <v>76</v>
      </c>
      <c r="G96" s="12" cm="1">
        <f t="array" ref="G96">IF(D96&gt;=1000000, 0.07, IF(D96&gt;=700000, 0.05, f(D96&gt;=500000, 0.03, 0)))</f>
        <v>7.0000000000000007E-2</v>
      </c>
      <c r="H96" s="17">
        <v>7.0000000000000007E-2</v>
      </c>
    </row>
    <row r="97" spans="2:8" ht="20.149999999999999" customHeight="1" x14ac:dyDescent="0.35">
      <c r="B97" s="6">
        <v>14</v>
      </c>
      <c r="C97" s="6" t="s">
        <v>84</v>
      </c>
      <c r="D97" s="6" t="s">
        <v>58</v>
      </c>
      <c r="E97" s="11">
        <v>841687</v>
      </c>
      <c r="F97" s="6" t="s">
        <v>77</v>
      </c>
      <c r="G97" s="12" cm="1">
        <f t="array" ref="G97">IF(D97&gt;=1000000, 0.07, IF(D97&gt;=700000, 0.05, f(D97&gt;=500000, 0.03, 0)))</f>
        <v>7.0000000000000007E-2</v>
      </c>
      <c r="H97" s="17">
        <v>0.05</v>
      </c>
    </row>
    <row r="98" spans="2:8" ht="20.149999999999999" customHeight="1" x14ac:dyDescent="0.35">
      <c r="B98" s="6">
        <v>15</v>
      </c>
      <c r="C98" s="6" t="s">
        <v>84</v>
      </c>
      <c r="D98" s="6" t="s">
        <v>59</v>
      </c>
      <c r="E98" s="11">
        <v>634195</v>
      </c>
      <c r="F98" s="6" t="s">
        <v>76</v>
      </c>
      <c r="G98" s="12" cm="1">
        <f t="array" ref="G98">IF(D98&gt;=1000000, 0.07, IF(D98&gt;=700000, 0.05, f(D98&gt;=500000, 0.03, 0)))</f>
        <v>7.0000000000000007E-2</v>
      </c>
      <c r="H98" s="17">
        <v>0.03</v>
      </c>
    </row>
    <row r="99" spans="2:8" ht="20.149999999999999" customHeight="1" x14ac:dyDescent="0.35">
      <c r="B99" s="6">
        <v>16</v>
      </c>
      <c r="C99" s="6" t="s">
        <v>84</v>
      </c>
      <c r="D99" s="6" t="s">
        <v>60</v>
      </c>
      <c r="E99" s="11">
        <v>626240</v>
      </c>
      <c r="F99" s="6" t="s">
        <v>78</v>
      </c>
      <c r="G99" s="12" cm="1">
        <f t="array" ref="G99">IF(D99&gt;=1000000, 0.07, IF(D99&gt;=700000, 0.05, f(D99&gt;=500000, 0.03, 0)))</f>
        <v>7.0000000000000007E-2</v>
      </c>
      <c r="H99" s="17">
        <v>0.03</v>
      </c>
    </row>
    <row r="100" spans="2:8" ht="20.149999999999999" customHeight="1" x14ac:dyDescent="0.35">
      <c r="B100" s="6">
        <v>17</v>
      </c>
      <c r="C100" s="6" t="s">
        <v>82</v>
      </c>
      <c r="D100" s="6" t="s">
        <v>61</v>
      </c>
      <c r="E100" s="11">
        <v>531543</v>
      </c>
      <c r="F100" s="6" t="s">
        <v>76</v>
      </c>
      <c r="G100" s="12" cm="1">
        <f t="array" ref="G100">IF(D100&gt;=1000000, 0.07, IF(D100&gt;=700000, 0.05, f(D100&gt;=500000, 0.03, 0)))</f>
        <v>7.0000000000000007E-2</v>
      </c>
      <c r="H100" s="17">
        <v>0</v>
      </c>
    </row>
    <row r="101" spans="2:8" ht="20.149999999999999" customHeight="1" x14ac:dyDescent="0.35">
      <c r="B101" s="6">
        <v>18</v>
      </c>
      <c r="C101" s="6" t="s">
        <v>82</v>
      </c>
      <c r="D101" s="6" t="s">
        <v>62</v>
      </c>
      <c r="E101" s="11">
        <v>888762</v>
      </c>
      <c r="F101" s="6" t="s">
        <v>79</v>
      </c>
      <c r="G101" s="12" cm="1">
        <f t="array" ref="G101">IF(D101&gt;=1000000, 0.07, IF(D101&gt;=700000, 0.05, f(D101&gt;=500000, 0.03, 0)))</f>
        <v>7.0000000000000007E-2</v>
      </c>
      <c r="H101" s="17">
        <v>0.05</v>
      </c>
    </row>
    <row r="102" spans="2:8" ht="20.149999999999999" customHeight="1" x14ac:dyDescent="0.35">
      <c r="B102" s="6">
        <v>19</v>
      </c>
      <c r="C102" s="6" t="s">
        <v>82</v>
      </c>
      <c r="D102" s="6" t="s">
        <v>63</v>
      </c>
      <c r="E102" s="11">
        <v>1137234</v>
      </c>
      <c r="F102" s="6" t="s">
        <v>76</v>
      </c>
      <c r="G102" s="12" cm="1">
        <f t="array" ref="G102">IF(D102&gt;=1000000, 0.07, IF(D102&gt;=700000, 0.05, f(D102&gt;=500000, 0.03, 0)))</f>
        <v>7.0000000000000007E-2</v>
      </c>
      <c r="H102" s="17">
        <v>7.0000000000000007E-2</v>
      </c>
    </row>
    <row r="103" spans="2:8" ht="20.149999999999999" customHeight="1" x14ac:dyDescent="0.35">
      <c r="B103" s="6">
        <v>20</v>
      </c>
      <c r="C103" s="6" t="s">
        <v>81</v>
      </c>
      <c r="D103" s="6" t="s">
        <v>64</v>
      </c>
      <c r="E103" s="11">
        <v>1039741</v>
      </c>
      <c r="F103" s="6" t="s">
        <v>77</v>
      </c>
      <c r="G103" s="12" cm="1">
        <f t="array" ref="G103">IF(D103&gt;=1000000, 0.07, IF(D103&gt;=700000, 0.05, f(D103&gt;=500000, 0.03, 0)))</f>
        <v>7.0000000000000007E-2</v>
      </c>
      <c r="H103" s="17">
        <v>7.0000000000000007E-2</v>
      </c>
    </row>
    <row r="104" spans="2:8" ht="20.149999999999999" customHeight="1" x14ac:dyDescent="0.35">
      <c r="H104" s="18"/>
    </row>
    <row r="105" spans="2:8" ht="20.149999999999999" customHeight="1" x14ac:dyDescent="0.35">
      <c r="B105" s="13" t="s">
        <v>99</v>
      </c>
      <c r="H105" s="18"/>
    </row>
    <row r="106" spans="2:8" ht="20.149999999999999" customHeight="1" x14ac:dyDescent="0.35">
      <c r="B106" s="3" t="s">
        <v>47</v>
      </c>
      <c r="C106" s="3" t="s">
        <v>67</v>
      </c>
      <c r="D106" s="3" t="s">
        <v>65</v>
      </c>
      <c r="E106" s="3" t="s">
        <v>48</v>
      </c>
      <c r="F106" s="3" t="s">
        <v>49</v>
      </c>
      <c r="G106" s="4" t="s">
        <v>86</v>
      </c>
      <c r="H106" s="14" t="s">
        <v>94</v>
      </c>
    </row>
    <row r="107" spans="2:8" ht="20.149999999999999" customHeight="1" x14ac:dyDescent="0.35">
      <c r="B107" s="6" t="s">
        <v>26</v>
      </c>
      <c r="C107" s="10">
        <v>44872</v>
      </c>
      <c r="D107" s="6" t="s">
        <v>66</v>
      </c>
      <c r="E107" s="6">
        <v>91</v>
      </c>
      <c r="F107" s="6" t="s">
        <v>50</v>
      </c>
      <c r="G107" s="12" t="str">
        <f>IF(E107&gt;=90, "A", IF(E107&gt;=80, "A-", IF(E107&gt;=70, "B", IF(E107&gt;=50, "C", IF(E107&gt;=30, "D", "F")))))</f>
        <v>A</v>
      </c>
      <c r="H107" s="17" t="s">
        <v>87</v>
      </c>
    </row>
    <row r="108" spans="2:8" ht="20.149999999999999" customHeight="1" x14ac:dyDescent="0.35">
      <c r="B108" s="6" t="s">
        <v>51</v>
      </c>
      <c r="C108" s="10">
        <v>44872</v>
      </c>
      <c r="D108" s="6" t="s">
        <v>66</v>
      </c>
      <c r="E108" s="6">
        <v>89</v>
      </c>
      <c r="F108" s="6" t="s">
        <v>50</v>
      </c>
      <c r="G108" s="12" t="str">
        <f t="shared" ref="G108:G126" si="3">IF(E108&gt;=90, "A", IF(E108&gt;=80, "A-", IF(E108&gt;=70, "B", IF(E108&gt;=50, "C", IF(E108&gt;=30, "D", "F")))))</f>
        <v>A-</v>
      </c>
      <c r="H108" s="17" t="s">
        <v>88</v>
      </c>
    </row>
    <row r="109" spans="2:8" ht="20.149999999999999" customHeight="1" x14ac:dyDescent="0.35">
      <c r="B109" s="6" t="s">
        <v>52</v>
      </c>
      <c r="C109" s="10">
        <v>44872</v>
      </c>
      <c r="D109" s="6" t="s">
        <v>66</v>
      </c>
      <c r="E109" s="6">
        <v>58</v>
      </c>
      <c r="F109" s="6" t="s">
        <v>50</v>
      </c>
      <c r="G109" s="12" t="str">
        <f t="shared" si="3"/>
        <v>C</v>
      </c>
      <c r="H109" s="17" t="s">
        <v>90</v>
      </c>
    </row>
    <row r="110" spans="2:8" ht="20.149999999999999" customHeight="1" x14ac:dyDescent="0.35">
      <c r="B110" s="6" t="s">
        <v>53</v>
      </c>
      <c r="C110" s="10">
        <v>44872</v>
      </c>
      <c r="D110" s="6" t="s">
        <v>66</v>
      </c>
      <c r="E110" s="6">
        <v>17</v>
      </c>
      <c r="F110" s="6" t="s">
        <v>50</v>
      </c>
      <c r="G110" s="12" t="str">
        <f t="shared" si="3"/>
        <v>F</v>
      </c>
      <c r="H110" s="17" t="s">
        <v>92</v>
      </c>
    </row>
    <row r="111" spans="2:8" ht="20.149999999999999" customHeight="1" x14ac:dyDescent="0.35">
      <c r="B111" s="6" t="s">
        <v>54</v>
      </c>
      <c r="C111" s="10">
        <v>44872</v>
      </c>
      <c r="D111" s="6" t="s">
        <v>66</v>
      </c>
      <c r="E111" s="6">
        <v>34</v>
      </c>
      <c r="F111" s="6" t="s">
        <v>50</v>
      </c>
      <c r="G111" s="12" t="str">
        <f t="shared" si="3"/>
        <v>D</v>
      </c>
      <c r="H111" s="17" t="s">
        <v>91</v>
      </c>
    </row>
    <row r="112" spans="2:8" ht="20.149999999999999" customHeight="1" x14ac:dyDescent="0.35">
      <c r="B112" s="6" t="s">
        <v>55</v>
      </c>
      <c r="C112" s="10">
        <v>44872</v>
      </c>
      <c r="D112" s="6" t="s">
        <v>66</v>
      </c>
      <c r="E112" s="6">
        <v>74</v>
      </c>
      <c r="F112" s="6" t="s">
        <v>50</v>
      </c>
      <c r="G112" s="12" t="str">
        <f t="shared" si="3"/>
        <v>B</v>
      </c>
      <c r="H112" s="17" t="s">
        <v>89</v>
      </c>
    </row>
    <row r="113" spans="2:8" ht="20.149999999999999" customHeight="1" x14ac:dyDescent="0.35">
      <c r="B113" s="6" t="s">
        <v>29</v>
      </c>
      <c r="C113" s="10">
        <v>44872</v>
      </c>
      <c r="D113" s="6" t="s">
        <v>66</v>
      </c>
      <c r="E113" s="6">
        <v>18</v>
      </c>
      <c r="F113" s="6" t="s">
        <v>50</v>
      </c>
      <c r="G113" s="12" t="str">
        <f t="shared" si="3"/>
        <v>F</v>
      </c>
      <c r="H113" s="17" t="s">
        <v>92</v>
      </c>
    </row>
    <row r="114" spans="2:8" ht="20.149999999999999" customHeight="1" x14ac:dyDescent="0.35">
      <c r="B114" s="6" t="s">
        <v>56</v>
      </c>
      <c r="C114" s="10">
        <v>44872</v>
      </c>
      <c r="D114" s="6" t="s">
        <v>66</v>
      </c>
      <c r="E114" s="6">
        <v>37</v>
      </c>
      <c r="F114" s="6" t="s">
        <v>50</v>
      </c>
      <c r="G114" s="12" t="str">
        <f t="shared" si="3"/>
        <v>D</v>
      </c>
      <c r="H114" s="17" t="s">
        <v>91</v>
      </c>
    </row>
    <row r="115" spans="2:8" ht="20.149999999999999" customHeight="1" x14ac:dyDescent="0.35">
      <c r="B115" s="6" t="s">
        <v>28</v>
      </c>
      <c r="C115" s="10">
        <v>44872</v>
      </c>
      <c r="D115" s="6" t="s">
        <v>66</v>
      </c>
      <c r="E115" s="6">
        <v>79</v>
      </c>
      <c r="F115" s="6" t="s">
        <v>50</v>
      </c>
      <c r="G115" s="12" t="str">
        <f t="shared" si="3"/>
        <v>B</v>
      </c>
      <c r="H115" s="17" t="s">
        <v>88</v>
      </c>
    </row>
    <row r="116" spans="2:8" ht="20.149999999999999" customHeight="1" x14ac:dyDescent="0.35">
      <c r="B116" s="6" t="s">
        <v>30</v>
      </c>
      <c r="C116" s="10">
        <v>44872</v>
      </c>
      <c r="D116" s="6" t="s">
        <v>66</v>
      </c>
      <c r="E116" s="6">
        <v>5</v>
      </c>
      <c r="F116" s="6" t="s">
        <v>50</v>
      </c>
      <c r="G116" s="12" t="str">
        <f t="shared" si="3"/>
        <v>F</v>
      </c>
      <c r="H116" s="17" t="s">
        <v>92</v>
      </c>
    </row>
    <row r="117" spans="2:8" ht="20.149999999999999" customHeight="1" x14ac:dyDescent="0.35">
      <c r="B117" s="6" t="s">
        <v>31</v>
      </c>
      <c r="C117" s="10">
        <v>44872</v>
      </c>
      <c r="D117" s="6" t="s">
        <v>66</v>
      </c>
      <c r="E117" s="6">
        <v>84</v>
      </c>
      <c r="F117" s="6" t="s">
        <v>50</v>
      </c>
      <c r="G117" s="12" t="str">
        <f t="shared" si="3"/>
        <v>A-</v>
      </c>
      <c r="H117" s="17" t="s">
        <v>88</v>
      </c>
    </row>
    <row r="118" spans="2:8" ht="20.149999999999999" customHeight="1" x14ac:dyDescent="0.35">
      <c r="B118" s="6" t="s">
        <v>57</v>
      </c>
      <c r="C118" s="10">
        <v>44872</v>
      </c>
      <c r="D118" s="6" t="s">
        <v>66</v>
      </c>
      <c r="E118" s="6">
        <v>58</v>
      </c>
      <c r="F118" s="6" t="s">
        <v>50</v>
      </c>
      <c r="G118" s="12" t="str">
        <f t="shared" si="3"/>
        <v>C</v>
      </c>
      <c r="H118" s="17" t="s">
        <v>90</v>
      </c>
    </row>
    <row r="119" spans="2:8" ht="20.149999999999999" customHeight="1" x14ac:dyDescent="0.35">
      <c r="B119" s="6" t="s">
        <v>27</v>
      </c>
      <c r="C119" s="10">
        <v>44872</v>
      </c>
      <c r="D119" s="6" t="s">
        <v>66</v>
      </c>
      <c r="E119" s="6">
        <v>86</v>
      </c>
      <c r="F119" s="6" t="s">
        <v>50</v>
      </c>
      <c r="G119" s="12" t="str">
        <f t="shared" si="3"/>
        <v>A-</v>
      </c>
      <c r="H119" s="17" t="s">
        <v>88</v>
      </c>
    </row>
    <row r="120" spans="2:8" ht="20.149999999999999" customHeight="1" x14ac:dyDescent="0.35">
      <c r="B120" s="6" t="s">
        <v>58</v>
      </c>
      <c r="C120" s="10">
        <v>44872</v>
      </c>
      <c r="D120" s="6" t="s">
        <v>66</v>
      </c>
      <c r="E120" s="6">
        <v>44</v>
      </c>
      <c r="F120" s="6" t="s">
        <v>50</v>
      </c>
      <c r="G120" s="12" t="str">
        <f t="shared" si="3"/>
        <v>D</v>
      </c>
      <c r="H120" s="17" t="s">
        <v>91</v>
      </c>
    </row>
    <row r="121" spans="2:8" ht="20.149999999999999" customHeight="1" x14ac:dyDescent="0.35">
      <c r="B121" s="6" t="s">
        <v>59</v>
      </c>
      <c r="C121" s="10">
        <v>44872</v>
      </c>
      <c r="D121" s="6" t="s">
        <v>66</v>
      </c>
      <c r="E121" s="6">
        <v>36</v>
      </c>
      <c r="F121" s="6" t="s">
        <v>50</v>
      </c>
      <c r="G121" s="12" t="str">
        <f t="shared" si="3"/>
        <v>D</v>
      </c>
      <c r="H121" s="17" t="s">
        <v>91</v>
      </c>
    </row>
    <row r="122" spans="2:8" ht="20.149999999999999" customHeight="1" x14ac:dyDescent="0.35">
      <c r="B122" s="6" t="s">
        <v>60</v>
      </c>
      <c r="C122" s="10">
        <v>44872</v>
      </c>
      <c r="D122" s="6" t="s">
        <v>66</v>
      </c>
      <c r="E122" s="6">
        <v>53</v>
      </c>
      <c r="F122" s="6" t="s">
        <v>50</v>
      </c>
      <c r="G122" s="12" t="str">
        <f t="shared" si="3"/>
        <v>C</v>
      </c>
      <c r="H122" s="17" t="s">
        <v>90</v>
      </c>
    </row>
    <row r="123" spans="2:8" ht="20.149999999999999" customHeight="1" x14ac:dyDescent="0.35">
      <c r="B123" s="6" t="s">
        <v>61</v>
      </c>
      <c r="C123" s="10">
        <v>44872</v>
      </c>
      <c r="D123" s="6" t="s">
        <v>66</v>
      </c>
      <c r="E123" s="6">
        <v>29</v>
      </c>
      <c r="F123" s="6" t="s">
        <v>50</v>
      </c>
      <c r="G123" s="12" t="str">
        <f t="shared" si="3"/>
        <v>F</v>
      </c>
      <c r="H123" s="17" t="s">
        <v>92</v>
      </c>
    </row>
    <row r="124" spans="2:8" ht="20.149999999999999" customHeight="1" x14ac:dyDescent="0.35">
      <c r="B124" s="6" t="s">
        <v>62</v>
      </c>
      <c r="C124" s="10">
        <v>44872</v>
      </c>
      <c r="D124" s="6" t="s">
        <v>66</v>
      </c>
      <c r="E124" s="6">
        <v>22</v>
      </c>
      <c r="F124" s="6" t="s">
        <v>50</v>
      </c>
      <c r="G124" s="12" t="str">
        <f t="shared" si="3"/>
        <v>F</v>
      </c>
      <c r="H124" s="17" t="s">
        <v>92</v>
      </c>
    </row>
    <row r="125" spans="2:8" ht="20.149999999999999" customHeight="1" x14ac:dyDescent="0.35">
      <c r="B125" s="6" t="s">
        <v>63</v>
      </c>
      <c r="C125" s="10">
        <v>44872</v>
      </c>
      <c r="D125" s="6" t="s">
        <v>66</v>
      </c>
      <c r="E125" s="6">
        <v>44</v>
      </c>
      <c r="F125" s="6" t="s">
        <v>50</v>
      </c>
      <c r="G125" s="12" t="str">
        <f t="shared" si="3"/>
        <v>D</v>
      </c>
      <c r="H125" s="17" t="s">
        <v>91</v>
      </c>
    </row>
    <row r="126" spans="2:8" ht="20.149999999999999" customHeight="1" x14ac:dyDescent="0.35">
      <c r="B126" s="6" t="s">
        <v>64</v>
      </c>
      <c r="C126" s="10">
        <v>44872</v>
      </c>
      <c r="D126" s="6" t="s">
        <v>66</v>
      </c>
      <c r="E126" s="6">
        <v>89</v>
      </c>
      <c r="F126" s="6" t="s">
        <v>50</v>
      </c>
      <c r="G126" s="12" t="str">
        <f t="shared" si="3"/>
        <v>A-</v>
      </c>
      <c r="H126" s="17" t="s">
        <v>88</v>
      </c>
    </row>
  </sheetData>
  <mergeCells count="1">
    <mergeCell ref="B2:G2"/>
  </mergeCells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Problem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Rafi</dc:creator>
  <cp:lastModifiedBy>Michajlo Solod</cp:lastModifiedBy>
  <dcterms:created xsi:type="dcterms:W3CDTF">2015-06-05T18:17:20Z</dcterms:created>
  <dcterms:modified xsi:type="dcterms:W3CDTF">2026-10-18T21:47:34Z</dcterms:modified>
</cp:coreProperties>
</file>