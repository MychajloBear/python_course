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E0B99CB4-ACF0-4647-81CE-6AF606293260}" xr6:coauthVersionLast="47" xr6:coauthVersionMax="47" xr10:uidLastSave="{00000000-0000-0000-0000-000000000000}"/>
  <bookViews>
    <workbookView xWindow="-120" yWindow="-120" windowWidth="27990" windowHeight="16440" xr2:uid="{E797F032-246C-45D2-9274-E3A9CB2C41CE}"/>
  </bookViews>
  <sheets>
    <sheet name="Einfache Formeln - Zahlen" sheetId="2" r:id="rId1"/>
    <sheet name="Einfache Formeln - Text" sheetId="3" r:id="rId2"/>
    <sheet name="Einfache Formeln - Datum" sheetId="4" r:id="rId3"/>
    <sheet name="Datenblatt-Tabelle (Statisch)" sheetId="7" r:id="rId4"/>
    <sheet name="Excel-Tabelle (Dynamisch)" sheetId="8" r:id="rId5"/>
    <sheet name="Wenn - Wenns" sheetId="10" r:id="rId6"/>
    <sheet name="Und - Oder" sheetId="11" r:id="rId7"/>
    <sheet name="SummeWenn" sheetId="12" r:id="rId8"/>
  </sheets>
  <definedNames>
    <definedName name="_xlnm._FilterDatabase" localSheetId="3" hidden="1">'Datenblatt-Tabelle (Statisch)'!$B$6:$H$13</definedName>
    <definedName name="_xlnm._FilterDatabase" localSheetId="0" hidden="1">'Einfache Formeln - Zahlen'!$B$5:$H$12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2" l="1"/>
  <c r="I26" i="12"/>
  <c r="I27" i="12"/>
  <c r="F27" i="12"/>
  <c r="I20" i="12"/>
  <c r="F20" i="12"/>
  <c r="F21" i="12"/>
  <c r="I21" i="12" s="1"/>
  <c r="F22" i="12"/>
  <c r="I22" i="12" s="1"/>
  <c r="F23" i="12"/>
  <c r="F24" i="12"/>
  <c r="F25" i="12"/>
  <c r="F26" i="12"/>
  <c r="I11" i="12"/>
  <c r="I12" i="12"/>
  <c r="I10" i="12"/>
  <c r="I6" i="12"/>
  <c r="I7" i="12"/>
  <c r="I5" i="12"/>
  <c r="F11" i="12"/>
  <c r="F10" i="12"/>
  <c r="F9" i="12"/>
  <c r="F8" i="12"/>
  <c r="F7" i="12"/>
  <c r="F6" i="12"/>
  <c r="F5" i="12"/>
  <c r="G3" i="10"/>
  <c r="F3" i="10"/>
  <c r="G2" i="10"/>
  <c r="E3" i="10"/>
  <c r="E4" i="10"/>
  <c r="E2" i="10"/>
  <c r="F6" i="11"/>
  <c r="G6" i="11" s="1" a="1"/>
  <c r="G6" i="11" s="1"/>
  <c r="F7" i="11"/>
  <c r="G7" i="11" s="1" a="1"/>
  <c r="G7" i="11" s="1"/>
  <c r="F8" i="11"/>
  <c r="G8" i="11" s="1" a="1"/>
  <c r="G8" i="11" s="1"/>
  <c r="F9" i="11"/>
  <c r="G9" i="11" s="1" a="1"/>
  <c r="G9" i="11" s="1"/>
  <c r="F10" i="11"/>
  <c r="G10" i="11" s="1" a="1"/>
  <c r="G10" i="11" s="1"/>
  <c r="F11" i="11"/>
  <c r="G11" i="11" s="1" a="1"/>
  <c r="G11" i="11" s="1"/>
  <c r="F5" i="11"/>
  <c r="G5" i="11" s="1" a="1"/>
  <c r="G5" i="11" s="1"/>
  <c r="D3" i="10" a="1"/>
  <c r="D3" i="10" s="1"/>
  <c r="D4" i="10" a="1"/>
  <c r="D4" i="10" s="1"/>
  <c r="D2" i="10" a="1"/>
  <c r="D2" i="10" s="1"/>
  <c r="C3" i="10"/>
  <c r="C4" i="10"/>
  <c r="C2" i="10"/>
  <c r="L13" i="8" l="1"/>
  <c r="L12" i="8"/>
  <c r="L11" i="8"/>
  <c r="L10" i="8"/>
  <c r="L9" i="8"/>
  <c r="L8" i="8"/>
  <c r="L7" i="8"/>
  <c r="F14" i="8"/>
  <c r="G14" i="8"/>
  <c r="H14" i="8"/>
  <c r="G10" i="8"/>
  <c r="H13" i="8"/>
  <c r="G13" i="8"/>
  <c r="F13" i="8"/>
  <c r="H12" i="8"/>
  <c r="G12" i="8"/>
  <c r="F12" i="8"/>
  <c r="H11" i="8"/>
  <c r="G11" i="8"/>
  <c r="F11" i="8"/>
  <c r="H10" i="8"/>
  <c r="F10" i="8"/>
  <c r="H9" i="8"/>
  <c r="G9" i="8"/>
  <c r="F9" i="8"/>
  <c r="H8" i="8"/>
  <c r="G8" i="8"/>
  <c r="F8" i="8"/>
  <c r="H7" i="8"/>
  <c r="G7" i="8"/>
  <c r="F7" i="8"/>
  <c r="L8" i="7"/>
  <c r="L9" i="7"/>
  <c r="L10" i="7"/>
  <c r="L11" i="7"/>
  <c r="L12" i="7"/>
  <c r="L13" i="7"/>
  <c r="L7" i="7"/>
  <c r="H13" i="7"/>
  <c r="G13" i="7"/>
  <c r="F13" i="7"/>
  <c r="H12" i="7"/>
  <c r="G12" i="7"/>
  <c r="F12" i="7"/>
  <c r="H11" i="7"/>
  <c r="G11" i="7"/>
  <c r="F11" i="7"/>
  <c r="H10" i="7"/>
  <c r="G10" i="7"/>
  <c r="F10" i="7"/>
  <c r="H9" i="7"/>
  <c r="G9" i="7"/>
  <c r="F9" i="7"/>
  <c r="H8" i="7"/>
  <c r="G8" i="7"/>
  <c r="F8" i="7"/>
  <c r="H7" i="7"/>
  <c r="G7" i="7"/>
  <c r="F7" i="7"/>
  <c r="H6" i="2"/>
  <c r="C3" i="4"/>
  <c r="D3" i="4" s="1"/>
  <c r="E4" i="3"/>
  <c r="E5" i="3"/>
  <c r="E3" i="3"/>
  <c r="D5" i="3"/>
  <c r="F9" i="3"/>
  <c r="F8" i="3"/>
  <c r="D4" i="3"/>
  <c r="D3" i="3"/>
  <c r="H3" i="4" l="1"/>
  <c r="G3" i="4"/>
  <c r="F3" i="4"/>
  <c r="E3" i="4"/>
  <c r="H7" i="2"/>
  <c r="H8" i="2"/>
  <c r="H9" i="2"/>
  <c r="H10" i="2"/>
  <c r="H11" i="2"/>
  <c r="H12" i="2"/>
  <c r="G7" i="2"/>
  <c r="G8" i="2"/>
  <c r="G9" i="2"/>
  <c r="G10" i="2"/>
  <c r="G11" i="2"/>
  <c r="G12" i="2"/>
  <c r="G6" i="2"/>
  <c r="F7" i="2"/>
  <c r="F8" i="2"/>
  <c r="F9" i="2"/>
  <c r="F10" i="2"/>
  <c r="F11" i="2"/>
  <c r="F12" i="2"/>
  <c r="F6" i="2"/>
  <c r="L12" i="2"/>
  <c r="L11" i="2"/>
  <c r="L10" i="2"/>
  <c r="L9" i="2"/>
  <c r="L8" i="2"/>
  <c r="L7" i="2"/>
  <c r="L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<sst xmlns="http://schemas.openxmlformats.org/spreadsheetml/2006/main" count="236" uniqueCount="71">
  <si>
    <t>Hans</t>
  </si>
  <si>
    <t>Peter</t>
  </si>
  <si>
    <t>Verkäufer</t>
  </si>
  <si>
    <t>Produkt</t>
  </si>
  <si>
    <t>Umsatz</t>
  </si>
  <si>
    <t>Anna</t>
  </si>
  <si>
    <t>Laptop</t>
  </si>
  <si>
    <t>Bob</t>
  </si>
  <si>
    <t>Handy</t>
  </si>
  <si>
    <t>Tablet</t>
  </si>
  <si>
    <t>Clara</t>
  </si>
  <si>
    <t>Kosten</t>
  </si>
  <si>
    <t>Gesamt Umsatz</t>
  </si>
  <si>
    <t>Durchschnittlicher Umsatz</t>
  </si>
  <si>
    <t>Günstigster Artikel</t>
  </si>
  <si>
    <t>Teuerster Artikel</t>
  </si>
  <si>
    <t>Anzahl Verkäufe</t>
  </si>
  <si>
    <t>SUMME</t>
  </si>
  <si>
    <t>MITTELWERT</t>
  </si>
  <si>
    <t>MIN</t>
  </si>
  <si>
    <t>MAX</t>
  </si>
  <si>
    <t>ANZAHL</t>
  </si>
  <si>
    <t>ANZAHL2</t>
  </si>
  <si>
    <t>ANZAHLLEER</t>
  </si>
  <si>
    <t>Anzahl Umsatz Verkäufe</t>
  </si>
  <si>
    <t>Anzahl UmsatzLeer</t>
  </si>
  <si>
    <t>Umsatz-Kennzahlen</t>
  </si>
  <si>
    <t>Gewinn</t>
  </si>
  <si>
    <t>Nötige Kostensenkung</t>
  </si>
  <si>
    <t>Vorname</t>
  </si>
  <si>
    <t>Nachname</t>
  </si>
  <si>
    <t>E-Mail</t>
  </si>
  <si>
    <t>Müller</t>
  </si>
  <si>
    <t>Zimmermann</t>
  </si>
  <si>
    <t>Ines</t>
  </si>
  <si>
    <t>Zimmerfrau</t>
  </si>
  <si>
    <t>Das ist</t>
  </si>
  <si>
    <t>eineExcel</t>
  </si>
  <si>
    <t>Übung</t>
  </si>
  <si>
    <t>Voller Name</t>
  </si>
  <si>
    <t>Tag</t>
  </si>
  <si>
    <t>Geburtstag</t>
  </si>
  <si>
    <t>Heute</t>
  </si>
  <si>
    <t>Alter in Tagen</t>
  </si>
  <si>
    <t>KalenderWoche</t>
  </si>
  <si>
    <t>Monat</t>
  </si>
  <si>
    <t>Jahr</t>
  </si>
  <si>
    <t>Kostensenkung Ziel</t>
  </si>
  <si>
    <t>Kostensenkung 
Ziel</t>
  </si>
  <si>
    <t>Sarah</t>
  </si>
  <si>
    <t>Schüler</t>
  </si>
  <si>
    <t>Punkte</t>
  </si>
  <si>
    <t>Bestanden?</t>
  </si>
  <si>
    <t>Note</t>
  </si>
  <si>
    <t>Fehler?</t>
  </si>
  <si>
    <t>Lisa</t>
  </si>
  <si>
    <t>Max</t>
  </si>
  <si>
    <t>Tina</t>
  </si>
  <si>
    <t>"Bestanden" wenn Punkte &gt; 50, sonst "Nicht bestanden"</t>
  </si>
  <si>
    <t>Punkte &gt; 90 dann Note "Exzellent"</t>
  </si>
  <si>
    <t>Punkte&gt; 70 dann Note "Gut"</t>
  </si>
  <si>
    <t>Punkte&gt;=50 dann Note "Okay"</t>
  </si>
  <si>
    <t>Punkte &lt;50 dann Note "Nicht bestanden"</t>
  </si>
  <si>
    <t>Prüfe, ob die eingetragenen Punkte &gt; 0 sind, gebe sonst die Meldung "Eingabe nicht Möglich" aus.</t>
  </si>
  <si>
    <t>Gewinn OK?</t>
  </si>
  <si>
    <t>Gewinnziel</t>
  </si>
  <si>
    <t>Summe Produktgewinn</t>
  </si>
  <si>
    <t>Durchschnittlicher  Produktgewinn</t>
  </si>
  <si>
    <t>Summe Produktgewinn von Produkten die Anna gekauft hat</t>
  </si>
  <si>
    <t>Rabatt für Umsatz</t>
  </si>
  <si>
    <t>Rabatt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</si>
</sst>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407]_-;\-* #,##0\ [$€-407]_-;_-* &quot;-&quot;??\ [$€-407]_-;_-@_-"/>
    <numFmt numFmtId="165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2" fontId="0" fillId="0" borderId="0" xfId="0" applyNumberFormat="1"/>
    <xf numFmtId="14" fontId="0" fillId="0" borderId="0" xfId="0" applyNumberFormat="1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9" fontId="0" fillId="0" borderId="1" xfId="2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  <xf numFmtId="0" fontId="0" fillId="0" borderId="5" xfId="0" applyBorder="1"/>
    <xf numFmtId="164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6" xfId="0" applyBorder="1"/>
    <xf numFmtId="2" fontId="0" fillId="0" borderId="5" xfId="0" applyNumberFormat="1" applyBorder="1"/>
    <xf numFmtId="0" fontId="0" fillId="0" borderId="9" xfId="0" applyBorder="1"/>
    <xf numFmtId="164" fontId="0" fillId="0" borderId="20" xfId="1" applyNumberFormat="1" applyFont="1" applyFill="1" applyBorder="1"/>
    <xf numFmtId="0" fontId="0" fillId="0" borderId="21" xfId="0" applyBorder="1"/>
    <xf numFmtId="0" fontId="0" fillId="0" borderId="22" xfId="0" applyBorder="1"/>
    <xf numFmtId="164" fontId="0" fillId="0" borderId="23" xfId="1" applyNumberFormat="1" applyFont="1" applyBorder="1"/>
    <xf numFmtId="164" fontId="0" fillId="0" borderId="24" xfId="1" applyNumberFormat="1" applyFont="1" applyBorder="1"/>
    <xf numFmtId="0" fontId="0" fillId="0" borderId="28" xfId="0" applyBorder="1"/>
    <xf numFmtId="0" fontId="0" fillId="0" borderId="29" xfId="0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165" fontId="0" fillId="0" borderId="0" xfId="3" applyNumberFormat="1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3" applyNumberFormat="1" applyFont="1" applyBorder="1"/>
    <xf numFmtId="165" fontId="0" fillId="0" borderId="11" xfId="3" applyNumberFormat="1" applyFont="1" applyBorder="1"/>
    <xf numFmtId="0" fontId="0" fillId="0" borderId="0" xfId="0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4">
    <cellStyle name="Komma" xfId="1" builtinId="3"/>
    <cellStyle name="Prozent" xfId="2" builtinId="5"/>
    <cellStyle name="Standard" xfId="0" builtinId="0"/>
    <cellStyle name="Währung" xfId="3" builtinId="4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[$€-407]_-;\-* #,##0\ [$€-407]_-;_-* &quot;-&quot;??\ [$€-407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[$€-407]_-;\-* #,##0\ [$€-407]_-;_-* &quot;-&quot;??\ [$€-407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[$€-407]_-;\-* #,##0\ [$€-407]_-;_-* &quot;-&quot;??\ [$€-407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[$€-407]_-;\-* #,##0\ [$€-407]_-;_-* &quot;-&quot;??\ [$€-407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[$€-407]_-;\-* #,##0\ [$€-407]_-;_-* &quot;-&quot;??\ [$€-407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8066C-7A0C-410A-9A83-423E607D67D6}" name="Tabelle2" displayName="Tabelle2" ref="B6:H14" totalsRowShown="0" headerRowDxfId="11" dataDxfId="9" headerRowBorderDxfId="10" tableBorderDxfId="8" dataCellStyle="Komma">
  <autoFilter ref="B6:H14" xr:uid="{A888066C-7A0C-410A-9A83-423E607D67D6}"/>
  <tableColumns count="7">
    <tableColumn id="1" xr3:uid="{48C54D47-05AE-44B3-A348-69B8BD766F51}" name="Verkäufer" dataDxfId="7"/>
    <tableColumn id="2" xr3:uid="{8E4A92DF-B48B-4CE3-8861-227C083293F9}" name="Produkt" dataDxfId="6"/>
    <tableColumn id="3" xr3:uid="{1652B351-1F79-46C1-8A89-1777611C3A1F}" name="Umsatz" dataDxfId="5" dataCellStyle="Komma"/>
    <tableColumn id="4" xr3:uid="{ACEC68B9-3563-4DA6-9D17-3F55ADA8F1BE}" name="Kosten" dataDxfId="4" dataCellStyle="Komma"/>
    <tableColumn id="5" xr3:uid="{2A3A06C2-335A-4F69-899D-FB8887A686EA}" name="Gewinn" dataDxfId="3" dataCellStyle="Komma">
      <calculatedColumnFormula>D7-E7</calculatedColumnFormula>
    </tableColumn>
    <tableColumn id="6" xr3:uid="{EB73B7B7-0D88-4313-B5A6-C2307CD039B8}" name="Rabatt" dataDxfId="2" dataCellStyle="Komma">
      <calculatedColumnFormula>D7*B$3</calculatedColumnFormula>
    </tableColumn>
    <tableColumn id="7" xr3:uid="{F88BBC9F-9555-42AC-9A0A-4000F5F792B4}" name="Kostensenkung _x000a_Ziel" dataDxfId="1" dataCellStyle="Komma">
      <calculatedColumnFormula>E7*C$3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63E9F-72A2-475F-BABA-27B5277ACBA7}" name="Tabelle5" displayName="Tabelle5" ref="B19:F27" totalsRowShown="0">
  <autoFilter ref="B19:F27" xr:uid="{DA363E9F-72A2-475F-BABA-27B5277ACBA7}"/>
  <tableColumns count="5">
    <tableColumn id="1" xr3:uid="{5E172FA7-B8E7-4778-858D-C3381374AF6E}" name="Verkäufer"/>
    <tableColumn id="2" xr3:uid="{A922F338-9639-49AE-BC8E-5CEC72925A91}" name="Produkt"/>
    <tableColumn id="3" xr3:uid="{925D30A1-C33E-4845-BE2E-0FF0B1F1E84D}" name="Umsatz"/>
    <tableColumn id="4" xr3:uid="{460DDEDD-A1C3-4579-9B93-CF9DBB040134}" name="Kosten"/>
    <tableColumn id="5" xr3:uid="{E28E390C-BCEF-45B7-84C8-D8DF7778D8CC}" name="Gewinn" dataDxfId="0">
      <calculatedColumnFormula>Tabelle5[[#This Row],[Umsatz]]-Tabelle5[[#This Row],[Kosten]]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225A-F63A-4248-8ED3-2E0989E5F988}">
  <dimension ref="B1:M21"/>
  <sheetViews>
    <sheetView tabSelected="1" zoomScale="130" zoomScaleNormal="130" workbookViewId="0"/>
  </sheetViews>
  <sheetFormatPr baseColWidth="10" defaultRowHeight="15" x14ac:dyDescent="0.25"/>
  <cols>
    <col min="3" max="3" width="15.140625" bestFit="1" customWidth="1"/>
    <col min="4" max="4" width="19.7109375" customWidth="1"/>
    <col min="7" max="7" width="10.7109375" customWidth="1"/>
    <col min="8" max="8" width="18.28515625" customWidth="1"/>
    <col min="9" max="9" width="8.5703125" customWidth="1"/>
    <col min="10" max="10" width="22.42578125" bestFit="1" customWidth="1"/>
  </cols>
  <sheetData>
    <row r="1" spans="2:12" x14ac:dyDescent="0.25">
      <c r="C1" t="s">
        <v>69</v>
      </c>
      <c r="D1" t="s">
        <v>28</v>
      </c>
    </row>
    <row r="2" spans="2:12" x14ac:dyDescent="0.25">
      <c r="B2" t="s">
        <v>70</v>
      </c>
      <c r="C2" s="6">
        <v>0.05</v>
      </c>
      <c r="D2" s="6">
        <v>0.02</v>
      </c>
    </row>
    <row r="5" spans="2:12" x14ac:dyDescent="0.25">
      <c r="B5" s="3" t="s">
        <v>2</v>
      </c>
      <c r="C5" s="3" t="s">
        <v>3</v>
      </c>
      <c r="D5" s="3" t="s">
        <v>4</v>
      </c>
      <c r="E5" s="3" t="s">
        <v>11</v>
      </c>
      <c r="F5" s="3" t="s">
        <v>27</v>
      </c>
      <c r="G5" s="3" t="s">
        <v>70</v>
      </c>
      <c r="H5" s="3" t="s">
        <v>47</v>
      </c>
      <c r="I5" s="3"/>
      <c r="K5" s="48" t="s">
        <v>26</v>
      </c>
      <c r="L5" s="48"/>
    </row>
    <row r="6" spans="2:12" x14ac:dyDescent="0.25">
      <c r="B6" t="s">
        <v>5</v>
      </c>
      <c r="C6" t="s">
        <v>6</v>
      </c>
      <c r="D6" s="4">
        <v>1200</v>
      </c>
      <c r="E6" s="4">
        <v>500</v>
      </c>
      <c r="F6" s="4">
        <f>D6-E6</f>
        <v>700</v>
      </c>
      <c r="G6" s="4">
        <f>D6*C$2</f>
        <v>60</v>
      </c>
      <c r="H6" s="4">
        <f>E6*D$2</f>
        <v>10</v>
      </c>
      <c r="J6" t="s">
        <v>12</v>
      </c>
      <c r="K6" t="s">
        <v>17</v>
      </c>
      <c r="L6" s="5">
        <f>SUM(D6:D12)</f>
        <v>5500</v>
      </c>
    </row>
    <row r="7" spans="2:12" x14ac:dyDescent="0.25">
      <c r="B7" t="s">
        <v>7</v>
      </c>
      <c r="C7" t="s">
        <v>8</v>
      </c>
      <c r="D7" s="4">
        <v>600</v>
      </c>
      <c r="E7" s="4">
        <v>100</v>
      </c>
      <c r="F7" s="4">
        <f t="shared" ref="F7:F12" si="0">D7-E7</f>
        <v>500</v>
      </c>
      <c r="G7" s="4">
        <f t="shared" ref="G7:G12" si="1">D7*C$2</f>
        <v>30</v>
      </c>
      <c r="H7" s="4">
        <f t="shared" ref="H7:H12" si="2">E7*D$2</f>
        <v>2</v>
      </c>
      <c r="J7" t="s">
        <v>13</v>
      </c>
      <c r="K7" t="s">
        <v>18</v>
      </c>
      <c r="L7" s="5">
        <f>AVERAGE(D6:D12)</f>
        <v>785.71428571428567</v>
      </c>
    </row>
    <row r="8" spans="2:12" x14ac:dyDescent="0.25">
      <c r="B8" t="s">
        <v>5</v>
      </c>
      <c r="C8" t="s">
        <v>9</v>
      </c>
      <c r="D8" s="4">
        <v>800</v>
      </c>
      <c r="E8" s="4">
        <v>400</v>
      </c>
      <c r="F8" s="4">
        <f t="shared" si="0"/>
        <v>400</v>
      </c>
      <c r="G8" s="4">
        <f t="shared" si="1"/>
        <v>40</v>
      </c>
      <c r="H8" s="4">
        <f t="shared" si="2"/>
        <v>8</v>
      </c>
      <c r="J8" t="s">
        <v>14</v>
      </c>
      <c r="K8" t="s">
        <v>19</v>
      </c>
      <c r="L8" s="5">
        <f>MIN(D6:D12)</f>
        <v>500</v>
      </c>
    </row>
    <row r="9" spans="2:12" x14ac:dyDescent="0.25">
      <c r="B9" t="s">
        <v>10</v>
      </c>
      <c r="C9" t="s">
        <v>6</v>
      </c>
      <c r="D9" s="4">
        <v>1000</v>
      </c>
      <c r="E9" s="4">
        <v>200</v>
      </c>
      <c r="F9" s="4">
        <f t="shared" si="0"/>
        <v>800</v>
      </c>
      <c r="G9" s="4">
        <f t="shared" si="1"/>
        <v>50</v>
      </c>
      <c r="H9" s="4">
        <f t="shared" si="2"/>
        <v>4</v>
      </c>
      <c r="J9" t="s">
        <v>15</v>
      </c>
      <c r="K9" t="s">
        <v>20</v>
      </c>
      <c r="L9" s="5">
        <f>MAX(D6:D12)</f>
        <v>1200</v>
      </c>
    </row>
    <row r="10" spans="2:12" x14ac:dyDescent="0.25">
      <c r="B10" t="s">
        <v>7</v>
      </c>
      <c r="C10" t="s">
        <v>9</v>
      </c>
      <c r="D10" s="4">
        <v>750</v>
      </c>
      <c r="E10" s="4">
        <v>300</v>
      </c>
      <c r="F10" s="4">
        <f t="shared" si="0"/>
        <v>450</v>
      </c>
      <c r="G10" s="4">
        <f t="shared" si="1"/>
        <v>37.5</v>
      </c>
      <c r="H10" s="4">
        <f t="shared" si="2"/>
        <v>6</v>
      </c>
      <c r="J10" t="s">
        <v>24</v>
      </c>
      <c r="K10" t="s">
        <v>21</v>
      </c>
      <c r="L10">
        <f>COUNT(D6:D12)</f>
        <v>7</v>
      </c>
    </row>
    <row r="11" spans="2:12" x14ac:dyDescent="0.25">
      <c r="B11" t="s">
        <v>10</v>
      </c>
      <c r="C11" t="s">
        <v>8</v>
      </c>
      <c r="D11" s="4">
        <v>500</v>
      </c>
      <c r="E11" s="4">
        <v>10</v>
      </c>
      <c r="F11" s="4">
        <f t="shared" si="0"/>
        <v>490</v>
      </c>
      <c r="G11" s="4">
        <f t="shared" si="1"/>
        <v>25</v>
      </c>
      <c r="H11" s="4">
        <f t="shared" si="2"/>
        <v>0.2</v>
      </c>
      <c r="J11" s="1" t="s">
        <v>16</v>
      </c>
      <c r="K11" t="s">
        <v>22</v>
      </c>
      <c r="L11">
        <f>COUNTA(D6:D12)</f>
        <v>7</v>
      </c>
    </row>
    <row r="12" spans="2:12" x14ac:dyDescent="0.25">
      <c r="B12" t="s">
        <v>5</v>
      </c>
      <c r="C12" t="s">
        <v>8</v>
      </c>
      <c r="D12" s="4">
        <v>650</v>
      </c>
      <c r="E12" s="4">
        <v>50</v>
      </c>
      <c r="F12" s="4">
        <f t="shared" si="0"/>
        <v>600</v>
      </c>
      <c r="G12" s="4">
        <f t="shared" si="1"/>
        <v>32.5</v>
      </c>
      <c r="H12" s="4">
        <f t="shared" si="2"/>
        <v>1</v>
      </c>
      <c r="J12" t="s">
        <v>25</v>
      </c>
      <c r="K12" t="s">
        <v>23</v>
      </c>
      <c r="L12">
        <f>COUNTBLANK(D6:D12)</f>
        <v>0</v>
      </c>
    </row>
    <row r="15" spans="2:12" x14ac:dyDescent="0.25">
      <c r="D15" s="5"/>
    </row>
    <row r="21" spans="13:13" x14ac:dyDescent="0.25">
      <c r="M21" s="4"/>
    </row>
  </sheetData>
  <mergeCells count="1">
    <mergeCell ref="K5:L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D8CD-19A7-4E22-A8EE-1511316738C5}">
  <dimension ref="B2:F9"/>
  <sheetViews>
    <sheetView zoomScale="145" zoomScaleNormal="145" workbookViewId="0">
      <selection activeCell="D15" sqref="D15"/>
    </sheetView>
  </sheetViews>
  <sheetFormatPr baseColWidth="10" defaultRowHeight="15" x14ac:dyDescent="0.25"/>
  <cols>
    <col min="3" max="3" width="13.140625" customWidth="1"/>
    <col min="4" max="4" width="17.7109375" customWidth="1"/>
    <col min="5" max="5" width="24.140625" bestFit="1" customWidth="1"/>
    <col min="6" max="6" width="21" bestFit="1" customWidth="1"/>
  </cols>
  <sheetData>
    <row r="2" spans="2:6" x14ac:dyDescent="0.25">
      <c r="B2" s="3" t="s">
        <v>29</v>
      </c>
      <c r="C2" s="3" t="s">
        <v>30</v>
      </c>
      <c r="D2" s="3" t="s">
        <v>39</v>
      </c>
      <c r="E2" s="3" t="s">
        <v>31</v>
      </c>
    </row>
    <row r="3" spans="2:6" x14ac:dyDescent="0.25">
      <c r="B3" t="s">
        <v>0</v>
      </c>
      <c r="C3" t="s">
        <v>32</v>
      </c>
      <c r="D3" t="str">
        <f xml:space="preserve"> B3 &amp; " " &amp; C3</f>
        <v>Hans Müller</v>
      </c>
      <c r="E3" t="str">
        <f xml:space="preserve"> B3 &amp; "." &amp; C3 &amp; "@DSI.de"</f>
        <v>Hans.Müller@DSI.de</v>
      </c>
    </row>
    <row r="4" spans="2:6" x14ac:dyDescent="0.25">
      <c r="B4" t="s">
        <v>1</v>
      </c>
      <c r="C4" t="s">
        <v>33</v>
      </c>
      <c r="D4" t="str">
        <f>_xlfn.CONCAT(B4," ",C4)</f>
        <v>Peter Zimmermann</v>
      </c>
      <c r="E4" t="str">
        <f t="shared" ref="E4:E5" si="0" xml:space="preserve"> B4 &amp; "." &amp; C4 &amp; "@DSI.de"</f>
        <v>Peter.Zimmermann@DSI.de</v>
      </c>
    </row>
    <row r="5" spans="2:6" x14ac:dyDescent="0.25">
      <c r="B5" t="s">
        <v>34</v>
      </c>
      <c r="C5" t="s">
        <v>35</v>
      </c>
      <c r="D5" t="str">
        <f>_xlfn.TEXTJOIN(" ",TRUE,B5:C5)</f>
        <v>Ines Zimmerfrau</v>
      </c>
      <c r="E5" t="str">
        <f t="shared" si="0"/>
        <v>Ines.Zimmerfrau@DSI.de</v>
      </c>
    </row>
    <row r="8" spans="2:6" x14ac:dyDescent="0.25">
      <c r="B8" t="s">
        <v>36</v>
      </c>
      <c r="C8" t="s">
        <v>37</v>
      </c>
      <c r="E8" t="s">
        <v>38</v>
      </c>
      <c r="F8" t="str">
        <f>_xlfn.TEXTJOIN(";",TRUE,B8:E8)</f>
        <v>Das ist;eineExcel;Übung</v>
      </c>
    </row>
    <row r="9" spans="2:6" x14ac:dyDescent="0.25">
      <c r="B9" t="s">
        <v>36</v>
      </c>
      <c r="C9" t="s">
        <v>37</v>
      </c>
      <c r="E9" t="s">
        <v>38</v>
      </c>
      <c r="F9" t="str">
        <f>_xlfn.TEXTJOIN(";",FALSE,B9:E9)</f>
        <v>Das ist;eineExcel;;Übung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D152-FDC7-432D-9E9B-06F5B568F604}">
  <dimension ref="B2:H3"/>
  <sheetViews>
    <sheetView workbookViewId="0">
      <selection activeCell="J7" sqref="J7"/>
    </sheetView>
  </sheetViews>
  <sheetFormatPr baseColWidth="10" defaultRowHeight="15" x14ac:dyDescent="0.25"/>
  <cols>
    <col min="2" max="2" width="12.7109375" customWidth="1"/>
    <col min="4" max="4" width="13.7109375" customWidth="1"/>
    <col min="5" max="5" width="13.7109375" bestFit="1" customWidth="1"/>
    <col min="6" max="6" width="6" bestFit="1" customWidth="1"/>
    <col min="7" max="7" width="5" bestFit="1" customWidth="1"/>
    <col min="8" max="8" width="3.7109375" bestFit="1" customWidth="1"/>
  </cols>
  <sheetData>
    <row r="2" spans="2:8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40</v>
      </c>
    </row>
    <row r="3" spans="2:8" x14ac:dyDescent="0.25">
      <c r="B3" s="2">
        <v>33601</v>
      </c>
      <c r="C3" s="2">
        <f ca="1">TODAY()</f>
        <v>45804</v>
      </c>
      <c r="D3">
        <f ca="1">C3-B3</f>
        <v>12203</v>
      </c>
      <c r="E3">
        <f ca="1">_xlfn.ISOWEEKNUM(C3)</f>
        <v>22</v>
      </c>
      <c r="F3">
        <f ca="1">MONTH(C3)</f>
        <v>5</v>
      </c>
      <c r="G3">
        <f ca="1">YEAR(C3)</f>
        <v>2025</v>
      </c>
      <c r="H3">
        <f ca="1">DAY(C3)</f>
        <v>27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39B0-4ECB-4537-9B4B-14B4D5F59505}">
  <dimension ref="B2:M20"/>
  <sheetViews>
    <sheetView zoomScale="130" zoomScaleNormal="130" workbookViewId="0">
      <selection activeCell="B2" sqref="B2"/>
    </sheetView>
  </sheetViews>
  <sheetFormatPr baseColWidth="10" defaultRowHeight="15" x14ac:dyDescent="0.25"/>
  <cols>
    <col min="2" max="2" width="14.7109375" bestFit="1" customWidth="1"/>
    <col min="3" max="3" width="15.140625" bestFit="1" customWidth="1"/>
    <col min="4" max="4" width="8.28515625" bestFit="1" customWidth="1"/>
    <col min="7" max="7" width="10.7109375" customWidth="1"/>
    <col min="8" max="8" width="14.42578125" customWidth="1"/>
    <col min="9" max="9" width="3.28515625" customWidth="1"/>
    <col min="10" max="10" width="22.42578125" bestFit="1" customWidth="1"/>
  </cols>
  <sheetData>
    <row r="2" spans="2:12" x14ac:dyDescent="0.25">
      <c r="B2" s="8" t="s">
        <v>69</v>
      </c>
      <c r="C2" s="51" t="s">
        <v>28</v>
      </c>
      <c r="D2" s="51"/>
    </row>
    <row r="3" spans="2:12" x14ac:dyDescent="0.25">
      <c r="B3" s="7">
        <v>0.05</v>
      </c>
      <c r="C3" s="52">
        <v>0.02</v>
      </c>
      <c r="D3" s="52"/>
    </row>
    <row r="5" spans="2:12" ht="15.75" thickBot="1" x14ac:dyDescent="0.3"/>
    <row r="6" spans="2:12" ht="45.75" thickBot="1" x14ac:dyDescent="0.3">
      <c r="B6" s="21" t="s">
        <v>2</v>
      </c>
      <c r="C6" s="22" t="s">
        <v>3</v>
      </c>
      <c r="D6" s="22" t="s">
        <v>4</v>
      </c>
      <c r="E6" s="22" t="s">
        <v>11</v>
      </c>
      <c r="F6" s="22" t="s">
        <v>27</v>
      </c>
      <c r="G6" s="22" t="s">
        <v>70</v>
      </c>
      <c r="H6" s="23" t="s">
        <v>48</v>
      </c>
      <c r="K6" s="49" t="s">
        <v>26</v>
      </c>
      <c r="L6" s="50"/>
    </row>
    <row r="7" spans="2:12" x14ac:dyDescent="0.25">
      <c r="B7" s="17" t="s">
        <v>5</v>
      </c>
      <c r="C7" s="18" t="s">
        <v>6</v>
      </c>
      <c r="D7" s="19">
        <v>1200</v>
      </c>
      <c r="E7" s="19">
        <v>500</v>
      </c>
      <c r="F7" s="19">
        <f>D7-E7</f>
        <v>700</v>
      </c>
      <c r="G7" s="19">
        <f t="shared" ref="G7:H13" si="0">D7*B$3</f>
        <v>60</v>
      </c>
      <c r="H7" s="20">
        <f t="shared" si="0"/>
        <v>10</v>
      </c>
      <c r="J7" s="24" t="s">
        <v>12</v>
      </c>
      <c r="K7" s="25" t="s">
        <v>17</v>
      </c>
      <c r="L7" s="26">
        <f>SUM(D7:D13)</f>
        <v>5500</v>
      </c>
    </row>
    <row r="8" spans="2:12" x14ac:dyDescent="0.25">
      <c r="B8" s="11" t="s">
        <v>7</v>
      </c>
      <c r="C8" s="9" t="s">
        <v>8</v>
      </c>
      <c r="D8" s="10">
        <v>600</v>
      </c>
      <c r="E8" s="10">
        <v>100</v>
      </c>
      <c r="F8" s="10">
        <f t="shared" ref="F8:F13" si="1">D8-E8</f>
        <v>500</v>
      </c>
      <c r="G8" s="10">
        <f t="shared" si="0"/>
        <v>30</v>
      </c>
      <c r="H8" s="12">
        <f t="shared" si="0"/>
        <v>2</v>
      </c>
      <c r="J8" s="11" t="s">
        <v>13</v>
      </c>
      <c r="K8" s="9" t="s">
        <v>18</v>
      </c>
      <c r="L8" s="27">
        <f>AVERAGE(D7:D13)</f>
        <v>785.71428571428567</v>
      </c>
    </row>
    <row r="9" spans="2:12" x14ac:dyDescent="0.25">
      <c r="B9" s="11" t="s">
        <v>5</v>
      </c>
      <c r="C9" s="9" t="s">
        <v>9</v>
      </c>
      <c r="D9" s="10">
        <v>800</v>
      </c>
      <c r="E9" s="10">
        <v>400</v>
      </c>
      <c r="F9" s="10">
        <f t="shared" si="1"/>
        <v>400</v>
      </c>
      <c r="G9" s="10">
        <f t="shared" si="0"/>
        <v>40</v>
      </c>
      <c r="H9" s="12">
        <f t="shared" si="0"/>
        <v>8</v>
      </c>
      <c r="J9" s="11" t="s">
        <v>14</v>
      </c>
      <c r="K9" s="9" t="s">
        <v>19</v>
      </c>
      <c r="L9" s="27">
        <f>MIN(D7:D13)</f>
        <v>500</v>
      </c>
    </row>
    <row r="10" spans="2:12" x14ac:dyDescent="0.25">
      <c r="B10" s="11" t="s">
        <v>10</v>
      </c>
      <c r="C10" s="9" t="s">
        <v>6</v>
      </c>
      <c r="D10" s="10">
        <v>1000</v>
      </c>
      <c r="E10" s="10">
        <v>200</v>
      </c>
      <c r="F10" s="10">
        <f t="shared" si="1"/>
        <v>800</v>
      </c>
      <c r="G10" s="10">
        <f t="shared" si="0"/>
        <v>50</v>
      </c>
      <c r="H10" s="12">
        <f t="shared" si="0"/>
        <v>4</v>
      </c>
      <c r="J10" s="11" t="s">
        <v>15</v>
      </c>
      <c r="K10" s="9" t="s">
        <v>20</v>
      </c>
      <c r="L10" s="27">
        <f>MAX(D7:D13)</f>
        <v>1200</v>
      </c>
    </row>
    <row r="11" spans="2:12" x14ac:dyDescent="0.25">
      <c r="B11" s="11" t="s">
        <v>7</v>
      </c>
      <c r="C11" s="9" t="s">
        <v>9</v>
      </c>
      <c r="D11" s="10">
        <v>750</v>
      </c>
      <c r="E11" s="10">
        <v>300</v>
      </c>
      <c r="F11" s="10">
        <f t="shared" si="1"/>
        <v>450</v>
      </c>
      <c r="G11" s="10">
        <f t="shared" si="0"/>
        <v>37.5</v>
      </c>
      <c r="H11" s="12">
        <f t="shared" si="0"/>
        <v>6</v>
      </c>
      <c r="J11" s="11" t="s">
        <v>24</v>
      </c>
      <c r="K11" s="9" t="s">
        <v>21</v>
      </c>
      <c r="L11" s="28">
        <f>COUNT(D7:D13)</f>
        <v>7</v>
      </c>
    </row>
    <row r="12" spans="2:12" x14ac:dyDescent="0.25">
      <c r="B12" s="11" t="s">
        <v>10</v>
      </c>
      <c r="C12" s="9" t="s">
        <v>8</v>
      </c>
      <c r="D12" s="10">
        <v>500</v>
      </c>
      <c r="E12" s="10">
        <v>10</v>
      </c>
      <c r="F12" s="10">
        <f t="shared" si="1"/>
        <v>490</v>
      </c>
      <c r="G12" s="10">
        <f t="shared" si="0"/>
        <v>25</v>
      </c>
      <c r="H12" s="12">
        <f t="shared" si="0"/>
        <v>0.2</v>
      </c>
      <c r="J12" s="29" t="s">
        <v>16</v>
      </c>
      <c r="K12" s="9" t="s">
        <v>22</v>
      </c>
      <c r="L12" s="28">
        <f>COUNTA(D7:D13)</f>
        <v>7</v>
      </c>
    </row>
    <row r="13" spans="2:12" ht="15.75" thickBot="1" x14ac:dyDescent="0.3">
      <c r="B13" s="13" t="s">
        <v>5</v>
      </c>
      <c r="C13" s="14" t="s">
        <v>8</v>
      </c>
      <c r="D13" s="15">
        <v>650</v>
      </c>
      <c r="E13" s="15">
        <v>50</v>
      </c>
      <c r="F13" s="15">
        <f t="shared" si="1"/>
        <v>600</v>
      </c>
      <c r="G13" s="15">
        <f t="shared" si="0"/>
        <v>32.5</v>
      </c>
      <c r="H13" s="16">
        <f t="shared" si="0"/>
        <v>1</v>
      </c>
      <c r="J13" s="13" t="s">
        <v>25</v>
      </c>
      <c r="K13" s="14" t="s">
        <v>23</v>
      </c>
      <c r="L13" s="30">
        <f>COUNTBLANK(D7:D13)</f>
        <v>0</v>
      </c>
    </row>
    <row r="14" spans="2:12" x14ac:dyDescent="0.25">
      <c r="D14" s="5"/>
      <c r="F14" s="5"/>
    </row>
    <row r="20" spans="13:13" x14ac:dyDescent="0.25">
      <c r="M20" s="4"/>
    </row>
  </sheetData>
  <autoFilter ref="B6:H13" xr:uid="{A97239B0-4ECB-4537-9B4B-14B4D5F59505}"/>
  <mergeCells count="3">
    <mergeCell ref="K6:L6"/>
    <mergeCell ref="C2:D2"/>
    <mergeCell ref="C3:D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F0AE-9E98-4E3D-B9BF-85DD42EC115E}">
  <dimension ref="B2:M20"/>
  <sheetViews>
    <sheetView zoomScale="115" zoomScaleNormal="115" workbookViewId="0">
      <selection activeCell="B2" sqref="B2"/>
    </sheetView>
  </sheetViews>
  <sheetFormatPr baseColWidth="10" defaultRowHeight="15" x14ac:dyDescent="0.25"/>
  <cols>
    <col min="2" max="2" width="14.7109375" bestFit="1" customWidth="1"/>
    <col min="3" max="3" width="15.140625" bestFit="1" customWidth="1"/>
    <col min="4" max="4" width="9.28515625" customWidth="1"/>
    <col min="7" max="7" width="10.7109375" customWidth="1"/>
    <col min="8" max="8" width="14.42578125" customWidth="1"/>
    <col min="9" max="9" width="5.7109375" customWidth="1"/>
    <col min="10" max="10" width="22.42578125" bestFit="1" customWidth="1"/>
    <col min="13" max="13" width="8.28515625" bestFit="1" customWidth="1"/>
  </cols>
  <sheetData>
    <row r="2" spans="2:13" x14ac:dyDescent="0.25">
      <c r="B2" s="8" t="s">
        <v>69</v>
      </c>
      <c r="C2" s="51" t="s">
        <v>28</v>
      </c>
      <c r="D2" s="51"/>
    </row>
    <row r="3" spans="2:13" x14ac:dyDescent="0.25">
      <c r="B3" s="7">
        <v>0.05</v>
      </c>
      <c r="C3" s="52">
        <v>0.02</v>
      </c>
      <c r="D3" s="52"/>
    </row>
    <row r="5" spans="2:13" ht="15.75" thickBot="1" x14ac:dyDescent="0.3"/>
    <row r="6" spans="2:13" ht="45.75" thickBot="1" x14ac:dyDescent="0.3">
      <c r="B6" s="40" t="s">
        <v>2</v>
      </c>
      <c r="C6" s="41" t="s">
        <v>3</v>
      </c>
      <c r="D6" s="41" t="s">
        <v>4</v>
      </c>
      <c r="E6" s="41" t="s">
        <v>11</v>
      </c>
      <c r="F6" s="41" t="s">
        <v>27</v>
      </c>
      <c r="G6" s="41" t="s">
        <v>70</v>
      </c>
      <c r="H6" s="42" t="s">
        <v>48</v>
      </c>
      <c r="K6" s="49" t="s">
        <v>26</v>
      </c>
      <c r="L6" s="50"/>
    </row>
    <row r="7" spans="2:13" x14ac:dyDescent="0.25">
      <c r="B7" s="32" t="s">
        <v>5</v>
      </c>
      <c r="C7" s="18" t="s">
        <v>6</v>
      </c>
      <c r="D7" s="19">
        <v>1200</v>
      </c>
      <c r="E7" s="19">
        <v>500</v>
      </c>
      <c r="F7" s="19">
        <f>D7-E7</f>
        <v>700</v>
      </c>
      <c r="G7" s="19">
        <f t="shared" ref="G7:H14" si="0">D7*B$3</f>
        <v>60</v>
      </c>
      <c r="H7" s="34">
        <f t="shared" si="0"/>
        <v>10</v>
      </c>
      <c r="J7" s="24" t="s">
        <v>12</v>
      </c>
      <c r="K7" s="25" t="s">
        <v>17</v>
      </c>
      <c r="L7" s="26">
        <f>SUM(D7:D14)</f>
        <v>5700</v>
      </c>
      <c r="M7" s="43"/>
    </row>
    <row r="8" spans="2:13" x14ac:dyDescent="0.25">
      <c r="B8" s="33" t="s">
        <v>7</v>
      </c>
      <c r="C8" s="9" t="s">
        <v>8</v>
      </c>
      <c r="D8" s="10">
        <v>600</v>
      </c>
      <c r="E8" s="10">
        <v>100</v>
      </c>
      <c r="F8" s="10">
        <f t="shared" ref="F8:F13" si="1">D8-E8</f>
        <v>500</v>
      </c>
      <c r="G8" s="10">
        <f t="shared" si="0"/>
        <v>30</v>
      </c>
      <c r="H8" s="35">
        <f t="shared" si="0"/>
        <v>2</v>
      </c>
      <c r="J8" s="11" t="s">
        <v>13</v>
      </c>
      <c r="K8" s="9" t="s">
        <v>18</v>
      </c>
      <c r="L8" s="27">
        <f>AVERAGE(D7:D14)</f>
        <v>712.5</v>
      </c>
      <c r="M8" s="43"/>
    </row>
    <row r="9" spans="2:13" x14ac:dyDescent="0.25">
      <c r="B9" s="33" t="s">
        <v>5</v>
      </c>
      <c r="C9" s="9" t="s">
        <v>9</v>
      </c>
      <c r="D9" s="10">
        <v>800</v>
      </c>
      <c r="E9" s="10">
        <v>400</v>
      </c>
      <c r="F9" s="10">
        <f t="shared" si="1"/>
        <v>400</v>
      </c>
      <c r="G9" s="10">
        <f t="shared" si="0"/>
        <v>40</v>
      </c>
      <c r="H9" s="35">
        <f t="shared" si="0"/>
        <v>8</v>
      </c>
      <c r="J9" s="11" t="s">
        <v>14</v>
      </c>
      <c r="K9" s="9" t="s">
        <v>19</v>
      </c>
      <c r="L9" s="27">
        <f>MIN(D7:D14)</f>
        <v>200</v>
      </c>
      <c r="M9" s="43"/>
    </row>
    <row r="10" spans="2:13" x14ac:dyDescent="0.25">
      <c r="B10" s="33" t="s">
        <v>10</v>
      </c>
      <c r="C10" s="9" t="s">
        <v>6</v>
      </c>
      <c r="D10" s="10">
        <v>1000</v>
      </c>
      <c r="E10" s="10">
        <v>200</v>
      </c>
      <c r="F10" s="10">
        <f t="shared" si="1"/>
        <v>800</v>
      </c>
      <c r="G10" s="10">
        <f t="shared" si="0"/>
        <v>50</v>
      </c>
      <c r="H10" s="35">
        <f t="shared" si="0"/>
        <v>4</v>
      </c>
      <c r="J10" s="11" t="s">
        <v>15</v>
      </c>
      <c r="K10" s="9" t="s">
        <v>20</v>
      </c>
      <c r="L10" s="27">
        <f>MAX(D7:D14)</f>
        <v>1200</v>
      </c>
      <c r="M10" s="43"/>
    </row>
    <row r="11" spans="2:13" x14ac:dyDescent="0.25">
      <c r="B11" s="33" t="s">
        <v>7</v>
      </c>
      <c r="C11" s="9" t="s">
        <v>9</v>
      </c>
      <c r="D11" s="10">
        <v>750</v>
      </c>
      <c r="E11" s="10">
        <v>300</v>
      </c>
      <c r="F11" s="10">
        <f t="shared" si="1"/>
        <v>450</v>
      </c>
      <c r="G11" s="10">
        <f t="shared" si="0"/>
        <v>37.5</v>
      </c>
      <c r="H11" s="35">
        <f t="shared" si="0"/>
        <v>6</v>
      </c>
      <c r="J11" s="11" t="s">
        <v>24</v>
      </c>
      <c r="K11" s="9" t="s">
        <v>21</v>
      </c>
      <c r="L11" s="28">
        <f>COUNT(D7:D14)</f>
        <v>8</v>
      </c>
    </row>
    <row r="12" spans="2:13" x14ac:dyDescent="0.25">
      <c r="B12" s="33" t="s">
        <v>10</v>
      </c>
      <c r="C12" s="9" t="s">
        <v>8</v>
      </c>
      <c r="D12" s="10">
        <v>500</v>
      </c>
      <c r="E12" s="10">
        <v>10</v>
      </c>
      <c r="F12" s="10">
        <f t="shared" si="1"/>
        <v>490</v>
      </c>
      <c r="G12" s="10">
        <f t="shared" si="0"/>
        <v>25</v>
      </c>
      <c r="H12" s="35">
        <f t="shared" si="0"/>
        <v>0.2</v>
      </c>
      <c r="J12" s="29" t="s">
        <v>16</v>
      </c>
      <c r="K12" s="9" t="s">
        <v>22</v>
      </c>
      <c r="L12" s="28">
        <f>COUNTA(D7:D14)</f>
        <v>8</v>
      </c>
    </row>
    <row r="13" spans="2:13" ht="15.75" thickBot="1" x14ac:dyDescent="0.3">
      <c r="B13" s="36" t="s">
        <v>5</v>
      </c>
      <c r="C13" s="37" t="s">
        <v>8</v>
      </c>
      <c r="D13" s="38">
        <v>650</v>
      </c>
      <c r="E13" s="38">
        <v>50</v>
      </c>
      <c r="F13" s="38">
        <f t="shared" si="1"/>
        <v>600</v>
      </c>
      <c r="G13" s="38">
        <f t="shared" si="0"/>
        <v>32.5</v>
      </c>
      <c r="H13" s="39">
        <f t="shared" si="0"/>
        <v>1</v>
      </c>
      <c r="J13" s="13" t="s">
        <v>25</v>
      </c>
      <c r="K13" s="14" t="s">
        <v>23</v>
      </c>
      <c r="L13" s="30">
        <f>COUNTBLANK(D7:D14)</f>
        <v>0</v>
      </c>
    </row>
    <row r="14" spans="2:13" x14ac:dyDescent="0.25">
      <c r="B14" s="36" t="s">
        <v>49</v>
      </c>
      <c r="C14" s="37"/>
      <c r="D14" s="38">
        <v>200</v>
      </c>
      <c r="E14" s="38">
        <v>100</v>
      </c>
      <c r="F14" s="38">
        <f>D14-E14</f>
        <v>100</v>
      </c>
      <c r="G14" s="38">
        <f t="shared" si="0"/>
        <v>10</v>
      </c>
      <c r="H14" s="39">
        <f t="shared" si="0"/>
        <v>2</v>
      </c>
    </row>
    <row r="20" spans="13:13" x14ac:dyDescent="0.25">
      <c r="M20" s="4"/>
    </row>
  </sheetData>
  <mergeCells count="3">
    <mergeCell ref="C2:D2"/>
    <mergeCell ref="C3:D3"/>
    <mergeCell ref="K6:L6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FC6C-9660-4B74-A69C-37A43FA98DD9}">
  <dimension ref="A1:G18"/>
  <sheetViews>
    <sheetView zoomScale="145" zoomScaleNormal="145" workbookViewId="0">
      <selection activeCell="G2" sqref="G2"/>
    </sheetView>
  </sheetViews>
  <sheetFormatPr baseColWidth="10" defaultRowHeight="15" x14ac:dyDescent="0.25"/>
  <cols>
    <col min="3" max="3" width="14.28515625" bestFit="1" customWidth="1"/>
    <col min="4" max="4" width="14.7109375" customWidth="1"/>
  </cols>
  <sheetData>
    <row r="1" spans="1:7" x14ac:dyDescent="0.25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</row>
    <row r="2" spans="1:7" x14ac:dyDescent="0.25">
      <c r="A2" t="s">
        <v>55</v>
      </c>
      <c r="B2">
        <v>90</v>
      </c>
      <c r="C2" t="str">
        <f>IF(B2&gt;50,"Bestanden","Nicht bestanden")</f>
        <v>Bestanden</v>
      </c>
      <c r="D2" t="str" cm="1">
        <f t="array" ref="D2">_xlfn.IFS(B2&gt;90,"Excellent",B2&gt;70,"Gut",B2&gt;=50,"Okay",B2&lt;50,"Nicht bestanden")</f>
        <v>Gut</v>
      </c>
      <c r="E2" t="str">
        <f>IF(B2&gt;=0,"i.O","Falsche Eingabe")</f>
        <v>i.O</v>
      </c>
      <c r="F2">
        <v>0</v>
      </c>
      <c r="G2">
        <f>IFERROR(F2,"Falsch")</f>
        <v>0</v>
      </c>
    </row>
    <row r="3" spans="1:7" x14ac:dyDescent="0.25">
      <c r="A3" t="s">
        <v>56</v>
      </c>
      <c r="B3">
        <v>30</v>
      </c>
      <c r="C3" t="str">
        <f t="shared" ref="C3:C4" si="0">IF(B3&gt;50,"Bestanden","Nicht bestanden")</f>
        <v>Nicht bestanden</v>
      </c>
      <c r="D3" t="str" cm="1">
        <f t="array" ref="D3">_xlfn.IFS(B3&gt;90,"Excellent",B3&gt;70,"Gut",B3&gt;=50,"Okay",B3&lt;50,"Nicht bestanden")</f>
        <v>Nicht bestanden</v>
      </c>
      <c r="E3" t="str">
        <f t="shared" ref="E3:E4" si="1">IF(B3&gt;=0,"i.O","Falsche Eingabe")</f>
        <v>i.O</v>
      </c>
      <c r="F3" t="e">
        <f>12/F2</f>
        <v>#DIV/0!</v>
      </c>
      <c r="G3" t="str">
        <f>IFERROR(F3,"Falsch")</f>
        <v>Falsch</v>
      </c>
    </row>
    <row r="4" spans="1:7" x14ac:dyDescent="0.25">
      <c r="A4" t="s">
        <v>57</v>
      </c>
      <c r="B4">
        <v>85</v>
      </c>
      <c r="C4" t="str">
        <f t="shared" si="0"/>
        <v>Bestanden</v>
      </c>
      <c r="D4" t="str" cm="1">
        <f t="array" ref="D4">_xlfn.IFS(B4&gt;90,"Excellent",B4&gt;70,"Gut",B4&gt;=50,"Okay",B4&lt;50,"Nicht bestanden")</f>
        <v>Gut</v>
      </c>
      <c r="E4" t="str">
        <f t="shared" si="1"/>
        <v>i.O</v>
      </c>
    </row>
    <row r="8" spans="1:7" x14ac:dyDescent="0.25">
      <c r="A8" s="3" t="s">
        <v>52</v>
      </c>
    </row>
    <row r="9" spans="1:7" x14ac:dyDescent="0.25">
      <c r="A9" t="s">
        <v>58</v>
      </c>
    </row>
    <row r="11" spans="1:7" x14ac:dyDescent="0.25">
      <c r="A11" s="3" t="s">
        <v>53</v>
      </c>
    </row>
    <row r="12" spans="1:7" x14ac:dyDescent="0.25">
      <c r="A12" t="s">
        <v>59</v>
      </c>
    </row>
    <row r="13" spans="1:7" x14ac:dyDescent="0.25">
      <c r="A13" t="s">
        <v>60</v>
      </c>
    </row>
    <row r="14" spans="1:7" x14ac:dyDescent="0.25">
      <c r="A14" t="s">
        <v>61</v>
      </c>
    </row>
    <row r="15" spans="1:7" x14ac:dyDescent="0.25">
      <c r="A15" t="s">
        <v>62</v>
      </c>
    </row>
    <row r="17" spans="1:1" x14ac:dyDescent="0.25">
      <c r="A17" s="3" t="s">
        <v>54</v>
      </c>
    </row>
    <row r="18" spans="1:1" x14ac:dyDescent="0.25">
      <c r="A18" t="s">
        <v>63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5D48-3660-4B58-81E1-2ADB6043BC58}">
  <dimension ref="B4:J11"/>
  <sheetViews>
    <sheetView zoomScale="115" zoomScaleNormal="115" workbookViewId="0">
      <selection activeCell="E18" sqref="E18"/>
    </sheetView>
  </sheetViews>
  <sheetFormatPr baseColWidth="10" defaultRowHeight="15" x14ac:dyDescent="0.25"/>
  <cols>
    <col min="7" max="8" width="14.28515625" customWidth="1"/>
  </cols>
  <sheetData>
    <row r="4" spans="2:10" x14ac:dyDescent="0.25">
      <c r="B4" s="44" t="s">
        <v>2</v>
      </c>
      <c r="C4" s="44" t="s">
        <v>3</v>
      </c>
      <c r="D4" s="44" t="s">
        <v>4</v>
      </c>
      <c r="E4" s="44" t="s">
        <v>11</v>
      </c>
      <c r="F4" s="44" t="s">
        <v>27</v>
      </c>
      <c r="G4" s="44" t="s">
        <v>64</v>
      </c>
      <c r="J4" s="9" t="s">
        <v>65</v>
      </c>
    </row>
    <row r="5" spans="2:10" x14ac:dyDescent="0.25">
      <c r="B5" s="9" t="s">
        <v>5</v>
      </c>
      <c r="C5" s="9" t="s">
        <v>6</v>
      </c>
      <c r="D5" s="10">
        <v>1200</v>
      </c>
      <c r="E5" s="10">
        <v>500</v>
      </c>
      <c r="F5" s="10">
        <f>D5-E5</f>
        <v>700</v>
      </c>
      <c r="G5" s="45" t="str" cm="1">
        <f t="array" ref="G5">IFERROR(
_xlfn.IFS(AND(C5=$I$5,F5&gt;=$J$5),"i.O",AND(C5=$I$6,F5&gt;=$J$6),"i.O",AND(C5=$I$7,F5&gt;=$J$7),"i.O"),
"n.i.O")</f>
        <v>n.i.O</v>
      </c>
      <c r="I5" s="9" t="s">
        <v>6</v>
      </c>
      <c r="J5" s="10">
        <v>750</v>
      </c>
    </row>
    <row r="6" spans="2:10" x14ac:dyDescent="0.25">
      <c r="B6" s="9" t="s">
        <v>7</v>
      </c>
      <c r="C6" s="9" t="s">
        <v>8</v>
      </c>
      <c r="D6" s="10">
        <v>500</v>
      </c>
      <c r="E6" s="10">
        <v>100</v>
      </c>
      <c r="F6" s="10">
        <f t="shared" ref="F6:F11" si="0">D6-E6</f>
        <v>400</v>
      </c>
      <c r="G6" s="45" t="str" cm="1">
        <f t="array" ref="G6">IFERROR(
_xlfn.IFS(AND(C6=$I$5,F6&gt;=$J$5),"i.O",AND(C6=$I$6,F6&gt;=$J$6),"i.O",AND(C6=$I$7,F6&gt;=$J$7),"i.O"),
"n.i.O")</f>
        <v>n.i.O</v>
      </c>
      <c r="I6" s="9" t="s">
        <v>8</v>
      </c>
      <c r="J6" s="10">
        <v>500</v>
      </c>
    </row>
    <row r="7" spans="2:10" x14ac:dyDescent="0.25">
      <c r="B7" s="9" t="s">
        <v>5</v>
      </c>
      <c r="C7" s="9" t="s">
        <v>9</v>
      </c>
      <c r="D7" s="10">
        <v>800</v>
      </c>
      <c r="E7" s="10">
        <v>400</v>
      </c>
      <c r="F7" s="10">
        <f t="shared" si="0"/>
        <v>400</v>
      </c>
      <c r="G7" s="45" t="str" cm="1">
        <f t="array" ref="G7">IFERROR(
_xlfn.IFS(AND(C7=$I$5,F7&gt;=$J$5),"i.O",AND(C7=$I$6,F7&gt;=$J$6),"i.O",AND(C7=$I$7,F7&gt;=$J$7),"i.O"),
"n.i.O")</f>
        <v>i.O</v>
      </c>
      <c r="I7" s="9" t="s">
        <v>9</v>
      </c>
      <c r="J7" s="10">
        <v>400</v>
      </c>
    </row>
    <row r="8" spans="2:10" x14ac:dyDescent="0.25">
      <c r="B8" s="9" t="s">
        <v>10</v>
      </c>
      <c r="C8" s="9" t="s">
        <v>6</v>
      </c>
      <c r="D8" s="10">
        <v>1000</v>
      </c>
      <c r="E8" s="10">
        <v>200</v>
      </c>
      <c r="F8" s="10">
        <f t="shared" si="0"/>
        <v>800</v>
      </c>
      <c r="G8" s="45" t="str" cm="1">
        <f t="array" ref="G8">IFERROR(
_xlfn.IFS(AND(C8=$I$5,F8&gt;=$J$5),"i.O",AND(C8=$I$6,F8&gt;=$J$6),"i.O",AND(C8=$I$7,F8&gt;=$J$7),"i.O"),
"n.i.O")</f>
        <v>i.O</v>
      </c>
    </row>
    <row r="9" spans="2:10" x14ac:dyDescent="0.25">
      <c r="B9" s="9" t="s">
        <v>7</v>
      </c>
      <c r="C9" s="9" t="s">
        <v>9</v>
      </c>
      <c r="D9" s="10">
        <v>750</v>
      </c>
      <c r="E9" s="10">
        <v>300</v>
      </c>
      <c r="F9" s="10">
        <f t="shared" si="0"/>
        <v>450</v>
      </c>
      <c r="G9" s="45" t="str" cm="1">
        <f t="array" ref="G9">IFERROR(
_xlfn.IFS(AND(C9=$I$5,F9&gt;=$J$5),"i.O",AND(C9=$I$6,F9&gt;=$J$6),"i.O",AND(C9=$I$7,F9&gt;=$J$7),"i.O"),
"n.i.O")</f>
        <v>i.O</v>
      </c>
    </row>
    <row r="10" spans="2:10" x14ac:dyDescent="0.25">
      <c r="B10" s="9" t="s">
        <v>10</v>
      </c>
      <c r="C10" s="9" t="s">
        <v>8</v>
      </c>
      <c r="D10" s="10">
        <v>500</v>
      </c>
      <c r="E10" s="10">
        <v>10</v>
      </c>
      <c r="F10" s="10">
        <f t="shared" si="0"/>
        <v>490</v>
      </c>
      <c r="G10" s="45" t="str" cm="1">
        <f t="array" ref="G10">IFERROR(
_xlfn.IFS(AND(C10=$I$5,F10&gt;=$J$5),"i.O",AND(C10=$I$6,F10&gt;=$J$6),"i.O",AND(C10=$I$7,F10&gt;=$J$7),"i.O"),
"n.i.O")</f>
        <v>n.i.O</v>
      </c>
    </row>
    <row r="11" spans="2:10" x14ac:dyDescent="0.25">
      <c r="B11" s="9" t="s">
        <v>5</v>
      </c>
      <c r="C11" s="9" t="s">
        <v>8</v>
      </c>
      <c r="D11" s="10">
        <v>650</v>
      </c>
      <c r="E11" s="10">
        <v>50</v>
      </c>
      <c r="F11" s="10">
        <f t="shared" si="0"/>
        <v>600</v>
      </c>
      <c r="G11" s="45" t="str" cm="1">
        <f t="array" ref="G11">IFERROR(
_xlfn.IFS(AND(C11=$I$5,F11&gt;=$J$5),"i.O",AND(C11=$I$6,F11&gt;=$J$6),"i.O",AND(C11=$I$7,F11&gt;=$J$7),"i.O"),
"n.i.O")</f>
        <v>i.O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1FD4-6046-4C06-BEF5-0E360F1AE893}">
  <dimension ref="B3:I27"/>
  <sheetViews>
    <sheetView workbookViewId="0">
      <selection activeCell="K26" sqref="K26"/>
    </sheetView>
  </sheetViews>
  <sheetFormatPr baseColWidth="10" defaultRowHeight="15" x14ac:dyDescent="0.25"/>
  <cols>
    <col min="8" max="8" width="17.28515625" customWidth="1"/>
    <col min="9" max="9" width="24.7109375" customWidth="1"/>
  </cols>
  <sheetData>
    <row r="3" spans="2:9" ht="15.75" thickBot="1" x14ac:dyDescent="0.3"/>
    <row r="4" spans="2:9" ht="15.75" thickBot="1" x14ac:dyDescent="0.3">
      <c r="B4" s="44" t="s">
        <v>2</v>
      </c>
      <c r="C4" s="44" t="s">
        <v>3</v>
      </c>
      <c r="D4" s="44" t="s">
        <v>4</v>
      </c>
      <c r="E4" s="44" t="s">
        <v>11</v>
      </c>
      <c r="F4" s="44" t="s">
        <v>27</v>
      </c>
      <c r="H4" s="53" t="s">
        <v>66</v>
      </c>
      <c r="I4" s="54"/>
    </row>
    <row r="5" spans="2:9" x14ac:dyDescent="0.25">
      <c r="B5" s="9" t="s">
        <v>5</v>
      </c>
      <c r="C5" s="9" t="s">
        <v>6</v>
      </c>
      <c r="D5" s="10">
        <v>1200</v>
      </c>
      <c r="E5" s="10">
        <v>500</v>
      </c>
      <c r="F5" s="10">
        <f>D5-E5</f>
        <v>700</v>
      </c>
      <c r="H5" s="18" t="s">
        <v>6</v>
      </c>
      <c r="I5" s="47">
        <f>SUMIF($C$5:$C$11,H5,$F$5:$F$11)</f>
        <v>1500</v>
      </c>
    </row>
    <row r="6" spans="2:9" x14ac:dyDescent="0.25">
      <c r="B6" s="9" t="s">
        <v>7</v>
      </c>
      <c r="C6" s="9" t="s">
        <v>8</v>
      </c>
      <c r="D6" s="10">
        <v>500</v>
      </c>
      <c r="E6" s="10">
        <v>100</v>
      </c>
      <c r="F6" s="10">
        <f t="shared" ref="F6:F11" si="0">D6-E6</f>
        <v>400</v>
      </c>
      <c r="H6" s="9" t="s">
        <v>8</v>
      </c>
      <c r="I6" s="46">
        <f t="shared" ref="I6:I7" si="1">SUMIF($C$5:$C$11,H6,$F$5:$F$11)</f>
        <v>1490</v>
      </c>
    </row>
    <row r="7" spans="2:9" x14ac:dyDescent="0.25">
      <c r="B7" s="9" t="s">
        <v>5</v>
      </c>
      <c r="C7" s="9" t="s">
        <v>9</v>
      </c>
      <c r="D7" s="10">
        <v>800</v>
      </c>
      <c r="E7" s="10">
        <v>400</v>
      </c>
      <c r="F7" s="10">
        <f t="shared" si="0"/>
        <v>400</v>
      </c>
      <c r="H7" s="9" t="s">
        <v>9</v>
      </c>
      <c r="I7" s="46">
        <f t="shared" si="1"/>
        <v>850</v>
      </c>
    </row>
    <row r="8" spans="2:9" ht="15.75" thickBot="1" x14ac:dyDescent="0.3">
      <c r="B8" s="9" t="s">
        <v>10</v>
      </c>
      <c r="C8" s="9" t="s">
        <v>6</v>
      </c>
      <c r="D8" s="10">
        <v>1000</v>
      </c>
      <c r="E8" s="10">
        <v>200</v>
      </c>
      <c r="F8" s="10">
        <f t="shared" si="0"/>
        <v>800</v>
      </c>
    </row>
    <row r="9" spans="2:9" ht="15.75" thickBot="1" x14ac:dyDescent="0.3">
      <c r="B9" s="9" t="s">
        <v>7</v>
      </c>
      <c r="C9" s="9" t="s">
        <v>9</v>
      </c>
      <c r="D9" s="10">
        <v>750</v>
      </c>
      <c r="E9" s="10">
        <v>300</v>
      </c>
      <c r="F9" s="10">
        <f t="shared" si="0"/>
        <v>450</v>
      </c>
      <c r="H9" s="53" t="s">
        <v>67</v>
      </c>
      <c r="I9" s="54"/>
    </row>
    <row r="10" spans="2:9" x14ac:dyDescent="0.25">
      <c r="B10" s="9" t="s">
        <v>10</v>
      </c>
      <c r="C10" s="9" t="s">
        <v>8</v>
      </c>
      <c r="D10" s="10">
        <v>500</v>
      </c>
      <c r="E10" s="10">
        <v>10</v>
      </c>
      <c r="F10" s="10">
        <f t="shared" si="0"/>
        <v>490</v>
      </c>
      <c r="H10" s="18" t="s">
        <v>6</v>
      </c>
      <c r="I10" s="47">
        <f>AVERAGEIF($C$5:$C$11,H10,$F$5:$F$11)</f>
        <v>750</v>
      </c>
    </row>
    <row r="11" spans="2:9" x14ac:dyDescent="0.25">
      <c r="B11" s="9" t="s">
        <v>5</v>
      </c>
      <c r="C11" s="9" t="s">
        <v>8</v>
      </c>
      <c r="D11" s="10">
        <v>650</v>
      </c>
      <c r="E11" s="10">
        <v>50</v>
      </c>
      <c r="F11" s="10">
        <f t="shared" si="0"/>
        <v>600</v>
      </c>
      <c r="H11" s="9" t="s">
        <v>8</v>
      </c>
      <c r="I11" s="47">
        <f t="shared" ref="I11:I12" si="2">AVERAGEIF($C$5:$C$11,H11,$F$5:$F$11)</f>
        <v>496.66666666666669</v>
      </c>
    </row>
    <row r="12" spans="2:9" x14ac:dyDescent="0.25">
      <c r="D12" s="31"/>
      <c r="E12" s="31"/>
      <c r="F12" s="31"/>
      <c r="H12" s="9" t="s">
        <v>9</v>
      </c>
      <c r="I12" s="47">
        <f t="shared" si="2"/>
        <v>425</v>
      </c>
    </row>
    <row r="18" spans="2:9" ht="15.75" thickBot="1" x14ac:dyDescent="0.3"/>
    <row r="19" spans="2:9" ht="15.75" thickBot="1" x14ac:dyDescent="0.3">
      <c r="B19" t="s">
        <v>2</v>
      </c>
      <c r="C19" t="s">
        <v>3</v>
      </c>
      <c r="D19" t="s">
        <v>4</v>
      </c>
      <c r="E19" t="s">
        <v>11</v>
      </c>
      <c r="F19" t="s">
        <v>27</v>
      </c>
      <c r="H19" s="53" t="s">
        <v>66</v>
      </c>
      <c r="I19" s="54"/>
    </row>
    <row r="20" spans="2:9" x14ac:dyDescent="0.25">
      <c r="B20" t="s">
        <v>5</v>
      </c>
      <c r="C20" t="s">
        <v>6</v>
      </c>
      <c r="D20">
        <v>1200</v>
      </c>
      <c r="E20">
        <v>500</v>
      </c>
      <c r="F20">
        <f>Tabelle5[[#This Row],[Umsatz]]-Tabelle5[[#This Row],[Kosten]]</f>
        <v>700</v>
      </c>
      <c r="H20" s="18" t="s">
        <v>6</v>
      </c>
      <c r="I20" s="47">
        <f>SUMIF(Tabelle5[Produkt],H20,Tabelle5[Gewinn])</f>
        <v>1800</v>
      </c>
    </row>
    <row r="21" spans="2:9" x14ac:dyDescent="0.25">
      <c r="B21" t="s">
        <v>7</v>
      </c>
      <c r="C21" t="s">
        <v>8</v>
      </c>
      <c r="D21">
        <v>500</v>
      </c>
      <c r="E21">
        <v>100</v>
      </c>
      <c r="F21">
        <f>Tabelle5[[#This Row],[Umsatz]]-Tabelle5[[#This Row],[Kosten]]</f>
        <v>400</v>
      </c>
      <c r="H21" s="9" t="s">
        <v>8</v>
      </c>
      <c r="I21" s="47">
        <f>SUMIF(Tabelle5[Produkt],H21,Tabelle5[Gewinn])</f>
        <v>1490</v>
      </c>
    </row>
    <row r="22" spans="2:9" x14ac:dyDescent="0.25">
      <c r="B22" t="s">
        <v>5</v>
      </c>
      <c r="C22" t="s">
        <v>9</v>
      </c>
      <c r="D22">
        <v>800</v>
      </c>
      <c r="E22">
        <v>400</v>
      </c>
      <c r="F22">
        <f>Tabelle5[[#This Row],[Umsatz]]-Tabelle5[[#This Row],[Kosten]]</f>
        <v>400</v>
      </c>
      <c r="H22" s="9" t="s">
        <v>9</v>
      </c>
      <c r="I22" s="47">
        <f>SUMIF(Tabelle5[Produkt],H22,Tabelle5[Gewinn])</f>
        <v>850</v>
      </c>
    </row>
    <row r="23" spans="2:9" ht="15.75" thickBot="1" x14ac:dyDescent="0.3">
      <c r="B23" t="s">
        <v>10</v>
      </c>
      <c r="C23" t="s">
        <v>6</v>
      </c>
      <c r="D23">
        <v>1000</v>
      </c>
      <c r="E23">
        <v>200</v>
      </c>
      <c r="F23">
        <f>Tabelle5[[#This Row],[Umsatz]]-Tabelle5[[#This Row],[Kosten]]</f>
        <v>800</v>
      </c>
    </row>
    <row r="24" spans="2:9" ht="15.75" thickBot="1" x14ac:dyDescent="0.3">
      <c r="B24" t="s">
        <v>7</v>
      </c>
      <c r="C24" t="s">
        <v>9</v>
      </c>
      <c r="D24">
        <v>750</v>
      </c>
      <c r="E24">
        <v>300</v>
      </c>
      <c r="F24">
        <f>Tabelle5[[#This Row],[Umsatz]]-Tabelle5[[#This Row],[Kosten]]</f>
        <v>450</v>
      </c>
      <c r="H24" s="53" t="s">
        <v>68</v>
      </c>
      <c r="I24" s="54"/>
    </row>
    <row r="25" spans="2:9" x14ac:dyDescent="0.25">
      <c r="B25" t="s">
        <v>10</v>
      </c>
      <c r="C25" t="s">
        <v>8</v>
      </c>
      <c r="D25">
        <v>500</v>
      </c>
      <c r="E25">
        <v>10</v>
      </c>
      <c r="F25">
        <f>Tabelle5[[#This Row],[Umsatz]]-Tabelle5[[#This Row],[Kosten]]</f>
        <v>490</v>
      </c>
      <c r="H25" s="18" t="s">
        <v>6</v>
      </c>
      <c r="I25" s="47">
        <f>SUMIFS(Tabelle5[Gewinn],Tabelle5[Produkt],H25,Tabelle5[Verkäufer],"Anna")</f>
        <v>700</v>
      </c>
    </row>
    <row r="26" spans="2:9" x14ac:dyDescent="0.25">
      <c r="B26" t="s">
        <v>5</v>
      </c>
      <c r="C26" t="s">
        <v>8</v>
      </c>
      <c r="D26">
        <v>650</v>
      </c>
      <c r="E26">
        <v>50</v>
      </c>
      <c r="F26">
        <f>Tabelle5[[#This Row],[Umsatz]]-Tabelle5[[#This Row],[Kosten]]</f>
        <v>600</v>
      </c>
      <c r="H26" s="9" t="s">
        <v>8</v>
      </c>
      <c r="I26" s="47">
        <f>SUMIFS(Tabelle5[Gewinn],Tabelle5[Produkt],H26,Tabelle5[Verkäufer],"Anna")</f>
        <v>600</v>
      </c>
    </row>
    <row r="27" spans="2:9" x14ac:dyDescent="0.25">
      <c r="B27" t="s">
        <v>49</v>
      </c>
      <c r="C27" t="s">
        <v>6</v>
      </c>
      <c r="D27">
        <v>800</v>
      </c>
      <c r="E27">
        <v>500</v>
      </c>
      <c r="F27">
        <f>Tabelle5[[#This Row],[Umsatz]]-Tabelle5[[#This Row],[Kosten]]</f>
        <v>300</v>
      </c>
      <c r="H27" s="9" t="s">
        <v>9</v>
      </c>
      <c r="I27" s="47">
        <f>SUMIFS(Tabelle5[Gewinn],Tabelle5[Produkt],H27,Tabelle5[Verkäufer],"Anna")</f>
        <v>400</v>
      </c>
    </row>
  </sheetData>
  <mergeCells count="4">
    <mergeCell ref="H4:I4"/>
    <mergeCell ref="H9:I9"/>
    <mergeCell ref="H19:I19"/>
    <mergeCell ref="H24:I24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Einfache Formeln - Zahlen</vt:lpstr>
      <vt:lpstr>Einfache Formeln - Text</vt:lpstr>
      <vt:lpstr>Einfache Formeln - Datum</vt:lpstr>
      <vt:lpstr>Datenblatt-Tabelle (Statisch)</vt:lpstr>
      <vt:lpstr>Excel-Tabelle (Dynamisch)</vt:lpstr>
      <vt:lpstr>Wenn - Wenns</vt:lpstr>
      <vt:lpstr>Und - Oder</vt:lpstr>
      <vt:lpstr>SummeWenn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Dionysios Kladis</cp:lastModifiedBy>
  <cp:lastPrinted>2025-03-15T14:41:09Z</cp:lastPrinted>
  <dcterms:created xsi:type="dcterms:W3CDTF">2025-03-15T14:36:58Z</dcterms:created>
  <dcterms:modified xsi:type="dcterms:W3CDTF">2025-05-27T07:36:44Z</dcterms:modified>
</cp:coreProperties>
</file>