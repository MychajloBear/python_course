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66925"/>
  <mc:AlternateContent xmlns:mc="http://schemas.openxmlformats.org/markup-compatibility/2006">
    <mc:Choice Requires="x15">
      <x15ac:absPath xmlns:x15ac="http://schemas.microsoft.com/office/spreadsheetml/2010/11/ac" url="C:\Users\denni\Desktop\"/>
    </mc:Choice>
  </mc:AlternateContent>
  <xr:revisionPtr revIDLastSave="0" documentId="8_{FCD76679-E6AF-48E6-AA9D-FCEBACC2C54D}" xr6:coauthVersionLast="47" xr6:coauthVersionMax="47" xr10:uidLastSave="{00000000-0000-0000-0000-000000000000}"/>
  <bookViews>
    <workbookView showHorizontalScroll="0" showVerticalScroll="0" xWindow="-108" yWindow="-108" windowWidth="21720" windowHeight="13176" tabRatio="927"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Delivery">1.25</definedName>
    <definedName name="ExtraCredit" localSheetId="2">'Introduction to Functions'!$F$9:$G$14</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UMExtraCredit" localSheetId="2">'Introduction to Functions'!$F$9:$G$14</definedName>
    <definedName name="Total" localSheetId="2">'Introduction to Functions'!$D$50:$D$51</definedName>
    <definedName name="VAT">0.0825</definedName>
    <definedName name="_xlnm.Extract" localSheetId="9">'Conditional Functions'!$AB$2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3" i="7" l="1"/>
  <c r="F6" i="10" l="1"/>
  <c r="D10" i="20" l="1"/>
  <c r="G51" i="16"/>
  <c r="D12" i="13"/>
  <c r="D7" i="16" l="1"/>
  <c r="G7" i="19"/>
  <c r="D36" i="21"/>
  <c r="D8" i="10" l="1"/>
  <c r="D9" i="21"/>
  <c r="J43" i="19" l="1"/>
  <c r="E106" i="7" l="1"/>
  <c r="F35" i="13" l="1"/>
  <c r="G6" i="19" l="1"/>
  <c r="G5" i="19"/>
  <c r="G4" i="19"/>
  <c r="G3" i="19"/>
  <c r="G43" i="9" l="1"/>
  <c r="D43" i="9"/>
  <c r="F3" i="15"/>
  <c r="E3" i="15"/>
  <c r="D36" i="10" l="1"/>
  <c r="H64" i="7" l="1"/>
  <c r="D64" i="7"/>
  <c r="D51" i="16" l="1"/>
  <c r="F29" i="13" l="1"/>
  <c r="F28" i="13"/>
  <c r="G15" i="11"/>
  <c r="D39" i="16"/>
  <c r="D29" i="15"/>
  <c r="C37" i="15" s="1"/>
  <c r="D28" i="15"/>
  <c r="C36" i="15" s="1"/>
  <c r="F31" i="13" l="1"/>
  <c r="C32" i="15"/>
  <c r="D11" i="10"/>
  <c r="C33" i="15"/>
  <c r="E31" i="13"/>
  <c r="F33" i="13" l="1"/>
  <c r="F37" i="13" s="1"/>
</calcChain>
</file>

<file path=xl/sharedStrings.xml><?xml version="1.0" encoding="utf-8"?>
<sst xmlns="http://schemas.openxmlformats.org/spreadsheetml/2006/main" count="647" uniqueCount="319">
  <si>
    <t>Get started with formulas</t>
  </si>
  <si>
    <t>In just a few steps, you’ll be up and running with building formulas and functions in Excel: the world’s most powerful spreadsheet app.</t>
  </si>
  <si>
    <t>Go back to the top by pressing CTRL+HOME. To start the tour, press CTRL+PAGE DOWN.</t>
  </si>
  <si>
    <t>Basics: Doing maths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</si>
  <si>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</si>
  <si>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</si>
  <si>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</si>
  <si>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</si>
  <si>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</si>
  <si>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Take a look at this: change the numbers in cells C3 and C4, and watch the formula results automatically change.</t>
  </si>
  <si>
    <t>EXTRA CREDIT: You can raise a value to a power by using the carat (^) symbol, like =A1^A2. Enter it by pressing Shift+6. In cell F7, enter =C3^C4.</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</si>
  <si>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</si>
  <si>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</si>
  <si>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</si>
  <si>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</si>
  <si>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to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</si>
  <si>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</si>
  <si>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be calculated and the result will be displayed in the cell. To see the formula itself, you can look at the formula bar beneath the Ribbon, or press F2 to enter Edit mode, where you’ll see the formula in the cell. Press Enter again to finalise the formula and calculate the result.
</t>
  </si>
  <si>
    <t>Some formula explanations</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</si>
  <si>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</si>
  <si>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</si>
  <si>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 xml:space="preserve">GOOD TO KNOW: Constants are values that you enter in cells or formulas. While =10+20 might calculate the same result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“4” or “8” directly into the formula. 
</t>
  </si>
  <si>
    <t>Previous</t>
  </si>
  <si>
    <t>Next</t>
  </si>
  <si>
    <t>More information on the web</t>
  </si>
  <si>
    <t>Use Excel as a calculator</t>
  </si>
  <si>
    <t>Overview of formulas in Excel</t>
  </si>
  <si>
    <t xml:space="preserve">Excel functions (by category) </t>
  </si>
  <si>
    <t>Excel functions (alphabetical) </t>
  </si>
  <si>
    <t>Free Excel training online</t>
  </si>
  <si>
    <t>Numbers to use:</t>
  </si>
  <si>
    <t>Operation:</t>
  </si>
  <si>
    <t xml:space="preserve">Addition (+) </t>
  </si>
  <si>
    <t xml:space="preserve">Subtraction (-) </t>
  </si>
  <si>
    <t xml:space="preserve">Multiplication (*) </t>
  </si>
  <si>
    <t xml:space="preserve">Division (/) </t>
  </si>
  <si>
    <t xml:space="preserve">Power (^) </t>
  </si>
  <si>
    <t>Formulas:</t>
  </si>
  <si>
    <t>Answers:</t>
  </si>
  <si>
    <t>Values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</si>
  <si>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</si>
  <si>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</si>
  <si>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</si>
  <si>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Here’s a handy keyboard shortcut. Select cell D15, then press Alt =, then Enter. This automatically enters SUM for you.</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</si>
  <si>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</si>
  <si>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</si>
  <si>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</si>
  <si>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</si>
  <si>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</si>
  <si>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TAKE A LOOK AT THIS
Select these cells. Then in the bottom-right corner of the Excel window, look for SUM: 170 in the bottom bar. That’s called the Status Bar, and it’s just another way to quickly find a total and other details about a selected cell or range. </t>
  </si>
  <si>
    <t>All about the SUM function</t>
  </si>
  <si>
    <t>Use AutoSum to sum numbers</t>
  </si>
  <si>
    <t>All about the COUNT function</t>
  </si>
  <si>
    <t>Back to top</t>
  </si>
  <si>
    <t>Go back to the top by pressing CTRL+HOME. To proceed to the next step, press CTRL+PAGE DOWN.</t>
  </si>
  <si>
    <t>Fruit</t>
  </si>
  <si>
    <t>Apples</t>
  </si>
  <si>
    <t>Oranges</t>
  </si>
  <si>
    <t>Bananas</t>
  </si>
  <si>
    <t>Lemons</t>
  </si>
  <si>
    <t xml:space="preserve">SUM &gt; </t>
  </si>
  <si>
    <t>Item</t>
  </si>
  <si>
    <t>Bread</t>
  </si>
  <si>
    <t>Doughnuts</t>
  </si>
  <si>
    <t>Cookies</t>
  </si>
  <si>
    <t>Cakes</t>
  </si>
  <si>
    <t>Pies</t>
  </si>
  <si>
    <t>Cars</t>
  </si>
  <si>
    <t>Lorries</t>
  </si>
  <si>
    <t>Bikes</t>
  </si>
  <si>
    <t>Skates</t>
  </si>
  <si>
    <t>Amount</t>
  </si>
  <si>
    <t>Total:</t>
  </si>
  <si>
    <t>Meat</t>
  </si>
  <si>
    <t>Beef</t>
  </si>
  <si>
    <t>Chicken</t>
  </si>
  <si>
    <t>Pork</t>
  </si>
  <si>
    <t>Fish</t>
  </si>
  <si>
    <t>COUNT &gt;</t>
  </si>
  <si>
    <t>Additional Value</t>
  </si>
  <si>
    <t>New Total</t>
  </si>
  <si>
    <t>AVERAGE function</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</si>
  <si>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</si>
  <si>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</si>
  <si>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</si>
  <si>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</si>
  <si>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TAKE A LOOK AT THIS
Select any range of numbers, then look in the Status Bar for an instant Average.
</t>
  </si>
  <si>
    <t>Activate the previous sheet</t>
  </si>
  <si>
    <t>Go to the next sheet</t>
  </si>
  <si>
    <t xml:space="preserve">EXTRA CREDIT
Try using MEDIAN or MODE here. 
MEDIAN gives you the value in the middle of the data set, while 
MODE gives the one that occurs the most frequently.
</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</si>
  <si>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</si>
  <si>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</si>
  <si>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</si>
  <si>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</si>
  <si>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</si>
  <si>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AVERAGE &gt;</t>
  </si>
  <si>
    <t xml:space="preserve">More about the SUM function </t>
  </si>
  <si>
    <t>In some of the above tips, we taught you how to use the SUM function. Here are more details about it.</t>
  </si>
  <si>
    <t xml:space="preserve">Cells C37 to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</si>
  <si>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</si>
  <si>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</si>
  <si>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</si>
  <si>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to D48 contain data with two columns: Item and Amount. </t>
  </si>
  <si>
    <t>All about the SUMIF function</t>
  </si>
  <si>
    <t>Use Excel as your calculator</t>
  </si>
  <si>
    <t>MIN and MAX functions</t>
  </si>
  <si>
    <r>
      <t xml:space="preserve">Use the </t>
    </r>
    <r>
      <rPr>
        <b/>
        <sz val="10"/>
        <color theme="0"/>
        <rFont val="Calibri"/>
        <family val="2"/>
        <scheme val="minor"/>
      </rPr>
      <t>MIN</t>
    </r>
    <r>
      <rPr>
        <sz val="10"/>
        <color theme="0"/>
        <rFont val="Calibri"/>
        <family val="2"/>
        <scheme val="minor"/>
      </rPr>
      <t xml:space="preserve"> function to get the minimum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</si>
  <si>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</si>
  <si>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t xml:space="preserve">Select cell D7, then use the AutoSum Wizard to add a MIN function.
</t>
  </si>
  <si>
    <t xml:space="preserve">Now select cell G7, and enter a MAX function by typing =MAX(D3:D6).
</t>
  </si>
  <si>
    <t xml:space="preserve">More information on the web
</t>
  </si>
  <si>
    <t>All about the MIN function</t>
  </si>
  <si>
    <t>All about the MAX function</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</si>
  <si>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</si>
  <si>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</si>
  <si>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</si>
  <si>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</si>
  <si>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MIN &gt;</t>
  </si>
  <si>
    <t>MIN or MAX &gt;</t>
  </si>
  <si>
    <t>MAX &gt;</t>
  </si>
  <si>
    <t>Date functions</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</si>
  <si>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</si>
  <si>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</si>
  <si>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DD/MM/YY format in cell D7, and watch Excel tell you how many days away it is by using =D7-D6 in cell D8.
</t>
  </si>
  <si>
    <t xml:space="preserve">Add Dates – Let’s say you want to know which date a bill is due on,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</si>
  <si>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1 January 1900. Times are kept in fractional portions of a day based on minutes. So 12:30 PM on 01/01/2017 is actually stored as 42736.5208. If the Time or Date show up as numbers like that, then you can press Ctrl+1 &gt; Number &gt; select a Date or Time format. </t>
  </si>
  <si>
    <t xml:space="preserve">IMPORTANT DETAIL
If you don’t want Excel to display a negative number because you haven’t entered your birthday yet, you can use an IF function like this: =IF(D7="","",D7-D6), which says, “IF D7 equals nothing, then show nothing, otherwise show D7 minus D6”.
</t>
  </si>
  <si>
    <t>Time functions</t>
  </si>
  <si>
    <t xml:space="preserve">Excel can give you the current time, based on your computer’s regional settings. You can also add and subtract times. For instance, you might need to keep track of how many hours an employee worked each week, and calculate their pay and overtime.
</t>
  </si>
  <si>
    <t>If this formula could talk, it would say: “Take the Time Out and subtract it from the Time In, then subtract the Lunch Out/In Times, then multiply those by 24 to convert Excel’s fractional time to hours”, or =((Time In - Time Out)-(Lunch In - Lunch Out))*24.</t>
  </si>
  <si>
    <t>All about the TODAY function</t>
  </si>
  <si>
    <t>All about the NOW function</t>
  </si>
  <si>
    <t>All about the DATE function</t>
  </si>
  <si>
    <t>Today’s date:</t>
  </si>
  <si>
    <t>Your birthday:</t>
  </si>
  <si>
    <t>Days until your birthday:</t>
  </si>
  <si>
    <t>Grace period days:</t>
  </si>
  <si>
    <t>Bill due on:</t>
  </si>
  <si>
    <t>Current Time:</t>
  </si>
  <si>
    <t>Daily Hours Worked</t>
  </si>
  <si>
    <t>Time In:</t>
  </si>
  <si>
    <t>Lunch Out:</t>
  </si>
  <si>
    <t>Lunch In:</t>
  </si>
  <si>
    <t>Time Out:</t>
  </si>
  <si>
    <t>Total Hours:</t>
  </si>
  <si>
    <t>Static Date &amp; Time</t>
  </si>
  <si>
    <t>Date:</t>
  </si>
  <si>
    <t>Time:</t>
  </si>
  <si>
    <t>Joining text from different cells</t>
  </si>
  <si>
    <t xml:space="preserve">There are many times in Excel when you want to join text that’s in different cells. This example is very common, where you have first names and surnames, and want to combine them as first name, surname or full name. Fortunately, Excel lets us do that with the Ampersand (&amp;) sign, which you can enter with Shift+7.
</t>
  </si>
  <si>
    <t xml:space="preserve">In cell E3, enter =D3&amp;C3 to join the surnames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</si>
  <si>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</si>
  <si>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name and surname, but use a space without a comma. In F3, enter =C3&amp;" "&amp;D3.
</t>
  </si>
  <si>
    <t>Using text and numbers together</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</si>
  <si>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Serial date in this case. We need to explicitly tell Excel how to format the number portion of the formula, so it displays the way you want in the resulting text string. You can do that with the TEXT function and a format code.</t>
  </si>
  <si>
    <t xml:space="preserve">In cell C37, enter =C29&amp;" "&amp;TEXT(D29,"HH:MM AM/PM"). HH:MM AM/PM is the UK format code for Hours:Minutes AM or PM, like 1:30 PM.
</t>
  </si>
  <si>
    <t>All about the TEXT function</t>
  </si>
  <si>
    <t>Combine text and numbers</t>
  </si>
  <si>
    <t>First Name</t>
  </si>
  <si>
    <t>Nancy</t>
  </si>
  <si>
    <t>Andy</t>
  </si>
  <si>
    <t>Jan</t>
  </si>
  <si>
    <t>Maria</t>
  </si>
  <si>
    <t>Steven</t>
  </si>
  <si>
    <t>Michael</t>
  </si>
  <si>
    <t>Robert</t>
  </si>
  <si>
    <t>Yvonne</t>
  </si>
  <si>
    <t>Using text &amp; numbers</t>
  </si>
  <si>
    <t>Current time:</t>
  </si>
  <si>
    <t>Joining text &amp; numbers</t>
  </si>
  <si>
    <t>Formatting text &amp; numbers</t>
  </si>
  <si>
    <t>Surname</t>
  </si>
  <si>
    <t>Smith</t>
  </si>
  <si>
    <t>North</t>
  </si>
  <si>
    <t>Kotas</t>
  </si>
  <si>
    <t>Jones</t>
  </si>
  <si>
    <t>Thorpe</t>
  </si>
  <si>
    <t>Neipper</t>
  </si>
  <si>
    <t>Zare</t>
  </si>
  <si>
    <t>McKay</t>
  </si>
  <si>
    <t>Surname, First Name</t>
  </si>
  <si>
    <t>Full Name</t>
  </si>
  <si>
    <t>IF statements</t>
  </si>
  <si>
    <t>IF statements allow you to make logical comparisons between conditions. An IF statement generally says that if one condition is true, do something, otherwise do something else. The formulas can return text, values or even more calculations.</t>
  </si>
  <si>
    <t xml:space="preserve">In cell D9 enter =IF(C9="Apple",TRUE,FALSE). The correct answer is TRUE. 
</t>
  </si>
  <si>
    <t xml:space="preserve">Copy D9 to D10. The answer here should be FALSE, because an orange is not an apple.
</t>
  </si>
  <si>
    <t>IMPORTANT DETAIL
TRUE and FALSE are unlike other words in Excel formulas in that they don’t need to be in quotes, and Excel will automatically capitalise them. Numbers don’t need to be in quotes either. Regular text, like Yes or No, needs to be in quotes like this: 
=IF(C3="Apple","Yes","No")</t>
  </si>
  <si>
    <t>IF statement with another function</t>
  </si>
  <si>
    <t xml:space="preserve">IF statements can also force additional calculations to be performed if a certain condition is met. Here, we’re going to evaluate a cell to see if VAT should be charged, and calculate it if the condition is true.
</t>
  </si>
  <si>
    <t>In cell F33, we’ve entered =IF(E33="Yes",F31*VAT,0), where we’ve set up VAT as a Named Range with a value of 0.0825. Our formula says If cell E33 equals Yes, then multiply cell F31 by VAT, otherwise return a 0.
Try changing Yes to No in cell E33 to see the calculation change.</t>
  </si>
  <si>
    <t xml:space="preserve">Next, we’ve added an IF statement to calculate delivery if it’s required. In cell F35, you’ll see =IF(E35="Yes",SUM(D28:D29)*1.25,0). This says “If cell E35 is Yes, then take the sum of the Quantity column in the table above and multiply it by 1.25, otherwise return a 0”.
</t>
  </si>
  <si>
    <t xml:space="preserve">Next, change the 1.25 in the formula in cell F35 to “Delivery”. As you start typing, Excel’s auto-correct, should find it for you. When it does, press Tab to enter it. This is a Named Range, and we’ve entered it from Formulas &gt; Define Name. Now, if you ever need to change your VAT charges, you only have to do it in one place, and you can use the Delivery name anywhere in the workbook.
</t>
  </si>
  <si>
    <t>GOOD TO KNOW
When you create a formula, Excel will automatically place coloured borders around any ranges referenced in the formula, and the corresponding ranges in the formula will be the same colour. You can see this if you select cell F33 and press F2 to edit the formula.</t>
  </si>
  <si>
    <t xml:space="preserve">EXPERT TIP
Named Ranges allow you to define terms or values in a single place, and then reuse them throughout a workbook. You can see all of the named ranges in this workbook by going to Formulas &gt; Name Manager. Click here to learn more.
</t>
  </si>
  <si>
    <t>All about the IF function</t>
  </si>
  <si>
    <t>All about the IFS function</t>
  </si>
  <si>
    <t>Advanced IF statements</t>
  </si>
  <si>
    <t>Apple</t>
  </si>
  <si>
    <t>Orange</t>
  </si>
  <si>
    <t>Widget</t>
  </si>
  <si>
    <t>Doohickey</t>
  </si>
  <si>
    <t>Quantity</t>
  </si>
  <si>
    <t>Sub-Total</t>
  </si>
  <si>
    <t>VAT?</t>
  </si>
  <si>
    <t>Delivery?</t>
  </si>
  <si>
    <t>Total</t>
  </si>
  <si>
    <t>Cost</t>
  </si>
  <si>
    <t>Yes</t>
  </si>
  <si>
    <t>VLOOKUP</t>
  </si>
  <si>
    <t xml:space="preserve">VLOOKUP is one of the most widely used functions in Excel (and one of our favourites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</si>
  <si>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</si>
  <si>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</si>
  <si>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</si>
  <si>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</si>
  <si>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</si>
  <si>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</si>
  <si>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</si>
  <si>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EXPERIMENT
Try selecting different items from the drop-down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</si>
  <si>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</si>
  <si>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</si>
  <si>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 xml:space="preserve">If you know your lookup value exists, but want to hide the error if the lookup cell is blank, you can use an IF statement. In this case, we’ll wrap our existing VLOOKUP formula like this in cell D43:
=IF(C43="","",VLOOKUP(C43,C37:D41,2,FALSE))
This says that if cell C43 equals nothing (""), then return nothing, otherwise return the VLOOKUP’s results. Note the second closing parenthesis at the end of the formula. This closes the IF statement.
</t>
  </si>
  <si>
    <t xml:space="preserve">If you aren’t sure your lookup value exists, but you still want to suppress the #N/A error, you can use an error handling function called IFERROR in cell G43: =IFERROR(VLOOKUP(F43,F37:G41,2,FALSE),""). IFERROR says that if the VLOOKUP returns a valid result, then display that, otherwise, display nothing (""). We displayed nothing here (""), but you can also use numbers (0,1, 2 etc.), or text, such as “Formula isn’t correct”.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</si>
  <si>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</si>
  <si>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All about the VLOOKUP function</t>
  </si>
  <si>
    <t>All about the INDEX/MATCH functions</t>
  </si>
  <si>
    <t>All about the IFERROR function</t>
  </si>
  <si>
    <t>Use PivotTables to analyse worksheet data</t>
  </si>
  <si>
    <t>Pastry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</si>
  <si>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</si>
  <si>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</si>
  <si>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specific criteria you look for in another range, like how many Apples you have. Select cell D17 and type =SUMIF(C3:C14,C17,D3:D14). SUMIF is structured like this:</t>
  </si>
  <si>
    <t>=SUMIF(C3:C14,C17,D3:D4)</t>
  </si>
  <si>
    <t>Which range do you want to look at?</t>
  </si>
  <si>
    <t>What value (text or number) do you want to look for?</t>
  </si>
  <si>
    <t>For each match found, which range do you want to sum in?</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</si>
  <si>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</si>
  <si>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</si>
  <si>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Which range do you want to sum?</t>
  </si>
  <si>
    <t>This is the first range to look in for matches</t>
  </si>
  <si>
    <t>This is the criteria for the first match</t>
  </si>
  <si>
    <t>This is the second range to look in for matches</t>
  </si>
  <si>
    <t>This is the criteria for the second match</t>
  </si>
  <si>
    <t>EXPERT TIP
Each one of the Fruit and Type cells has a drop-down list where you can select different fruits. Try it, and watch the formulas automatically update.</t>
  </si>
  <si>
    <t>Conditional functions – COUNTIF</t>
  </si>
  <si>
    <t>COUNTIF and COUNTIFS let you count values in a range based on a criterion you specify. They’re a bit different from the other IF and IFS functions, in that they only have a criteria range and criteria. They don’t evaluate one range then look in another to summarise.</t>
  </si>
  <si>
    <t>=COUNTIF(C50:C61,C64)</t>
  </si>
  <si>
    <t>=COUNTIFS(F50:F61,F64,G50:G61,G64)</t>
  </si>
  <si>
    <t>This is the first range to count</t>
  </si>
  <si>
    <t>This is the second range to count</t>
  </si>
  <si>
    <t>This is criteria for the second match</t>
  </si>
  <si>
    <t>More conditional functions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</si>
  <si>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=MAXIFS(E92:E103,C92:C103,C10,D92:D103,D106)
MINIFS 	=MINIFS(E92:E103,C92:C103,C106,D92:D103,D106)
</t>
  </si>
  <si>
    <t>SUMIF with a value argument</t>
  </si>
  <si>
    <t>Here’s an example of the SUMIF function using greater than (&gt;) to find all values greater than a given amount:</t>
  </si>
  <si>
    <t xml:space="preserve">=SUMIF(D118:D122,"&gt;50")
</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</si>
  <si>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</si>
  <si>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</si>
  <si>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</si>
  <si>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</si>
  <si>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</si>
  <si>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</si>
  <si>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</si>
  <si>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</si>
  <si>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</si>
  <si>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</si>
  <si>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</si>
  <si>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</si>
  <si>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SUMIF</t>
  </si>
  <si>
    <t>COUNTIF</t>
  </si>
  <si>
    <t>Type</t>
  </si>
  <si>
    <t>Fuji</t>
  </si>
  <si>
    <t>Florida</t>
  </si>
  <si>
    <t>Cavendish</t>
  </si>
  <si>
    <t>Rough</t>
  </si>
  <si>
    <t>Honeycrisp</t>
  </si>
  <si>
    <t>Navel</t>
  </si>
  <si>
    <t>Lady Finger</t>
  </si>
  <si>
    <t>Eureka</t>
  </si>
  <si>
    <t>Try it</t>
  </si>
  <si>
    <t>SUMIFS</t>
  </si>
  <si>
    <t>COUNTIFS</t>
  </si>
  <si>
    <t>Let the Function Wizard guide you</t>
  </si>
  <si>
    <t xml:space="preserve">If you know the name of the function you want, but you aren’t sure how to build it, you can use the Function Wizard to help you out.
</t>
  </si>
  <si>
    <t>TAKE A LOOK AT THIS
You should end up with =VLOOKUP(C10,C5:D8,2,FALSE)</t>
  </si>
  <si>
    <t>GOOD TO KNOW
You can type cell and range references, or select them with your mouse.</t>
  </si>
  <si>
    <t xml:space="preserve">GOOD TO KNOW
As you enter each argument’s section, the argument’s description will be displayed towards the bottom of the form, above the Formula result.
</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</si>
  <si>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</si>
  <si>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</si>
  <si>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</si>
  <si>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correctly, but they can be challenging to fix. Fortunately, there are several options that can help you track down the source of the error and fix it.
</t>
  </si>
  <si>
    <t xml:space="preserve">Error checking – Go to Formulas &gt; Error Checking. This will load a dialogue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</si>
  <si>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dialogue will load.
</t>
  </si>
  <si>
    <t xml:space="preserve">Each time you click Evaluate, Excel will step through the formula one section at a time. It won’t necessarily tell you why an error has occurred, but it will point out where. From there, look at the help topic to deduce what went wrong with your formula.
</t>
  </si>
  <si>
    <t>EXPERIMENT
What’s wrong here? Hint: We’re trying to SUM up all the items.</t>
  </si>
  <si>
    <t xml:space="preserve">GOOD TO KNOW
Clicking Options will let you set the rules for when errors in Excel are displayed or ignored.
</t>
  </si>
  <si>
    <t>Detect errors in formulas</t>
  </si>
  <si>
    <t>How to avoid broken formulas</t>
  </si>
  <si>
    <t>Evaluate a nested formula one step at a time</t>
  </si>
  <si>
    <t>Have more questions about Excel?</t>
  </si>
  <si>
    <t>Press ALT+Q and type what you want to know.</t>
  </si>
  <si>
    <t>Keep going. There is more to learn with Excel:</t>
  </si>
  <si>
    <t xml:space="preserve">Community: Ask questions and connect with other Excel fans.
</t>
  </si>
  <si>
    <t xml:space="preserve">What else is new?
Office 365 subscribers get continual updates and new features.
</t>
  </si>
  <si>
    <t>Give us feedback on this tour</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</si>
  <si>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</si>
  <si>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</si>
  <si>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In cell D28, enter =NOW(), which will give the current time, and will update each time Excel calculates. If you need to change the Time format, you can go to Ctrl+1 &gt; Number &gt; Time &gt; Select the format you want.
</t>
  </si>
  <si>
    <t xml:space="preserve">In cell D15, you can use either the AutoSum Wizard, or type to enter a MIN or MAX function. 
</t>
  </si>
  <si>
    <t xml:space="preserve">Under the Amount column for Fruit (cell D7), enter =SUM(D3:D6), or type =SUM(, then select that range with the mouse, and press Enter. This will sum the values in cells D3, D4, D5 and D6. Your answer should be 170.
</t>
  </si>
  <si>
    <t>=10+20 is a formula, where 10 and 20 are constants and the + sign is the operator.</t>
  </si>
  <si>
    <t xml:space="preserve">Add up hours between times – In cell D36 we’ve entered =((D35-D32)-(D34-D33))*24, which calculates someone’s start and end times, then subtracts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</si>
  <si>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don’t know which format code to use, you can use Ctrl+1 &gt; Number to format any cell the way you want. Then select the Custom option. You can copy the format code that’s displayed back to your formula.</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</si>
  <si>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you’ve finished, and Excel will enter the formula for you.
</t>
  </si>
  <si>
    <t xml:space="preserve">In cell C36, enter =C28&amp;" "&amp;TEXT(D28,"YYYY-MM-DD"). YYYY-MM-DD is the UK format code for Year-Month-Day, like 2017-09-25.
</t>
  </si>
  <si>
    <t>Select cell D64 and type =COUNTIF(C50:C61,C64). COUNTIF is structured like this:</t>
  </si>
  <si>
    <t>TAKE A LOOK AT THIS
Formulas, especially big ones, can sometimes be hard to read, but you can break up their parts with spaces like this:
=C28 &amp; " " &amp; TEXT(D28,"YYYY-MM-DD")</t>
  </si>
  <si>
    <t xml:space="preserve">COUNTIFS is the same as SUMIF, but it lets you use multiple criteria. So in this example, you can look for Fruit and Type, instead of just by Fruit. Select cell H64 and type =COUNTIFS(F50:F61,F64,G50:G61,G64). COUNTIFS is structured like this:
</t>
  </si>
  <si>
    <t xml:space="preserve">IMPORTANT DETAIL
Double-click this cell. You’ll notice the 100 towards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</si>
  <si>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Try another example by looking at the formula in cell D12. We’ve got you started with =IF(C12&lt;100,"Less than 100","Greater than or equal to 100"). What happens if you enter a number greater than or equal to 100 in cell C12?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</si>
</sst>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h:mm\ AM/PM;@"/>
    <numFmt numFmtId="165" formatCode="dd/mm/yy;@"/>
    <numFmt numFmtId="166" formatCode="[$£-809]#,##0.00;[Red]\-[$£-809]#,##0.00"/>
  </numFmts>
  <fonts count="39"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sz val="54"/>
      <color theme="0"/>
      <name val="Segoe UI"/>
      <family val="2"/>
    </font>
    <font>
      <sz val="11"/>
      <color theme="1"/>
      <name val="Calibri"/>
      <family val="2"/>
      <scheme val="minor"/>
    </font>
    <font>
      <sz val="17"/>
      <color theme="0"/>
      <name val="Calibri"/>
      <family val="2"/>
      <scheme val="minor"/>
    </font>
    <font>
      <sz val="11"/>
      <color rgb="FF0B744D"/>
      <name val="Calibri"/>
      <family val="2"/>
      <scheme val="minor"/>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3" fillId="0" borderId="0" applyNumberFormat="0" applyFill="0" applyBorder="0" applyAlignment="0" applyProtection="0"/>
    <xf numFmtId="0" fontId="1" fillId="4" borderId="0"/>
    <xf numFmtId="0" fontId="1" fillId="5" borderId="1"/>
    <xf numFmtId="0" fontId="1" fillId="4" borderId="2"/>
  </cellStyleXfs>
  <cellXfs count="133">
    <xf numFmtId="0" fontId="0" fillId="0" borderId="0" xfId="0"/>
    <xf numFmtId="0" fontId="5" fillId="0" borderId="0" xfId="2"/>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0" fontId="20" fillId="3" borderId="0" xfId="7" applyFont="1"/>
    <xf numFmtId="0" fontId="2" fillId="0" borderId="0" xfId="15"/>
    <xf numFmtId="0" fontId="21" fillId="0" borderId="0" xfId="15" applyFont="1"/>
    <xf numFmtId="0" fontId="22" fillId="0" borderId="0" xfId="15" applyFont="1"/>
    <xf numFmtId="0" fontId="22" fillId="0" borderId="0" xfId="15" applyFont="1" applyAlignment="1">
      <alignment vertical="center"/>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0" fontId="1" fillId="5" borderId="1" xfId="18"/>
    <xf numFmtId="0" fontId="24" fillId="0" borderId="0" xfId="0" applyFont="1"/>
    <xf numFmtId="0" fontId="1" fillId="4" borderId="0" xfId="17"/>
    <xf numFmtId="0" fontId="23" fillId="0" borderId="0" xfId="16"/>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0" fontId="25"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6" fillId="0" borderId="0" xfId="6" applyFont="1"/>
    <xf numFmtId="0" fontId="27" fillId="0" borderId="0" xfId="11" applyFont="1"/>
    <xf numFmtId="0" fontId="28" fillId="0" borderId="0" xfId="0" applyFont="1" applyAlignment="1">
      <alignment horizontal="centerContinuous" vertical="center"/>
    </xf>
    <xf numFmtId="0" fontId="29" fillId="0" borderId="0" xfId="11" applyFont="1" applyAlignment="1">
      <alignment horizontal="centerContinuous"/>
    </xf>
    <xf numFmtId="0" fontId="29" fillId="0" borderId="0" xfId="11" applyFont="1"/>
    <xf numFmtId="0" fontId="26" fillId="3" borderId="0" xfId="7" applyFont="1"/>
    <xf numFmtId="0" fontId="26" fillId="3" borderId="0" xfId="7" applyFont="1" applyAlignment="1">
      <alignment horizontal="right"/>
    </xf>
    <xf numFmtId="0" fontId="30" fillId="0" borderId="0" xfId="11" applyFont="1"/>
    <xf numFmtId="0" fontId="29" fillId="0" borderId="0" xfId="11" applyFont="1" applyAlignment="1">
      <alignment horizontal="left"/>
    </xf>
    <xf numFmtId="0" fontId="30" fillId="0" borderId="0" xfId="11" applyFont="1" applyAlignment="1">
      <alignment horizontal="left"/>
    </xf>
    <xf numFmtId="0" fontId="31" fillId="0" borderId="0" xfId="0" applyFont="1"/>
    <xf numFmtId="0" fontId="32" fillId="0" borderId="0" xfId="0" applyFont="1"/>
    <xf numFmtId="0" fontId="29" fillId="4" borderId="2" xfId="14" applyFont="1"/>
    <xf numFmtId="0" fontId="29"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4" fillId="0" borderId="0" xfId="0" applyFont="1"/>
    <xf numFmtId="0" fontId="28" fillId="0" borderId="0" xfId="0" applyFont="1" applyAlignment="1">
      <alignment horizontal="center" vertical="center"/>
    </xf>
    <xf numFmtId="0" fontId="28"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8" fillId="0" borderId="0" xfId="6" applyAlignment="1">
      <alignment wrapText="1"/>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29" fillId="5" borderId="7" xfId="13" applyFont="1" applyBorder="1"/>
    <xf numFmtId="0" fontId="29" fillId="4" borderId="6" xfId="12" applyFont="1" applyBorder="1"/>
    <xf numFmtId="0" fontId="29"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0" fontId="5" fillId="4" borderId="11" xfId="10" applyBorder="1"/>
    <xf numFmtId="0" fontId="5" fillId="5" borderId="10" xfId="9" applyBorder="1"/>
    <xf numFmtId="164" fontId="5" fillId="5" borderId="10" xfId="9" applyNumberFormat="1" applyBorder="1"/>
    <xf numFmtId="0" fontId="1" fillId="4" borderId="6" xfId="8" applyFont="1" applyBorder="1"/>
    <xf numFmtId="164" fontId="5" fillId="4" borderId="6" xfId="8" applyNumberFormat="1" applyBorder="1"/>
    <xf numFmtId="164"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29" fillId="5" borderId="1" xfId="13" applyFont="1"/>
    <xf numFmtId="165" fontId="2" fillId="5" borderId="10" xfId="9" applyNumberFormat="1" applyFont="1" applyBorder="1" applyAlignment="1">
      <alignment horizontal="right"/>
    </xf>
    <xf numFmtId="165" fontId="5" fillId="4" borderId="11" xfId="10" applyNumberFormat="1" applyBorder="1"/>
    <xf numFmtId="165" fontId="5" fillId="4" borderId="6" xfId="8" applyNumberFormat="1" applyBorder="1"/>
    <xf numFmtId="166" fontId="0" fillId="0" borderId="0" xfId="0" applyNumberFormat="1" applyAlignment="1">
      <alignment vertical="center"/>
    </xf>
    <xf numFmtId="166" fontId="0" fillId="6" borderId="4" xfId="0" applyNumberFormat="1" applyFill="1" applyBorder="1" applyAlignment="1">
      <alignment vertical="center"/>
    </xf>
    <xf numFmtId="166" fontId="0" fillId="0" borderId="3" xfId="0" applyNumberFormat="1" applyBorder="1" applyAlignment="1">
      <alignment vertical="center"/>
    </xf>
    <xf numFmtId="166" fontId="5" fillId="5" borderId="1" xfId="9" applyNumberFormat="1" applyAlignment="1">
      <alignment vertical="center"/>
    </xf>
    <xf numFmtId="0" fontId="35" fillId="2" borderId="0" xfId="3" applyFont="1">
      <alignment horizontal="left" indent="1"/>
    </xf>
    <xf numFmtId="0" fontId="36" fillId="0" borderId="0" xfId="2" applyFont="1"/>
    <xf numFmtId="0" fontId="37" fillId="2" borderId="0" xfId="4" applyFont="1">
      <alignment horizontal="left" wrapText="1" indent="4"/>
    </xf>
    <xf numFmtId="0" fontId="38" fillId="2" borderId="0" xfId="5" applyFont="1">
      <alignment horizontal="left" wrapText="1" indent="4"/>
    </xf>
    <xf numFmtId="0" fontId="8" fillId="0" borderId="0" xfId="11" applyFont="1" applyAlignment="1">
      <alignment horizontal="left" wrapText="1"/>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Link" xfId="16" builtinId="8"/>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ndard" xfId="0" builtinId="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https://support.office.com/en-gb/article/excel-video-training-9bc05390-e94c-46af-a5b3-d7c22f6990bb?ui=en-US&amp;rs=en-GB&amp;ad=GB" TargetMode="External"/><Relationship Id="rId3" Type="http://schemas.openxmlformats.org/officeDocument/2006/relationships/hyperlink" Target="#Start!A1"/><Relationship Id="rId7" Type="http://schemas.openxmlformats.org/officeDocument/2006/relationships/hyperlink" Target="https://support.office.com/en-gb/article/create-a-pivottable-to-analyze-worksheet-data-a9a84538-bfe9-40a9-a8e9-f99134456576?omkt=en-GB" TargetMode="External"/><Relationship Id="rId12" Type="http://schemas.openxmlformats.org/officeDocument/2006/relationships/hyperlink" Target="https://support.office.com/en-gb/article/excel-functions-alphabetical-b3944572-255d-4efb-bb96-c6d90033e188?ui=en-US&amp;rs=en-GB&amp;ad=GB" TargetMode="External"/><Relationship Id="rId17" Type="http://schemas.openxmlformats.org/officeDocument/2006/relationships/image" Target="../media/image9.svg"/><Relationship Id="rId2" Type="http://schemas.openxmlformats.org/officeDocument/2006/relationships/hyperlink" Target="#'Introduction to Functions'!A1"/><Relationship Id="rId16" Type="http://schemas.openxmlformats.org/officeDocument/2006/relationships/image" Target="../media/image8.png"/><Relationship Id="rId1" Type="http://schemas.openxmlformats.org/officeDocument/2006/relationships/hyperlink" Target="#Basics!A60"/><Relationship Id="rId6" Type="http://schemas.openxmlformats.org/officeDocument/2006/relationships/hyperlink" Target="https://support.office.com/en-gb/article/use-excel-as-your-calculator-a1abc057-ed11-443a-a635-68216555ad0a?ui=en-US&amp;rs=en-GB&amp;ad=GB" TargetMode="External"/><Relationship Id="rId11" Type="http://schemas.openxmlformats.org/officeDocument/2006/relationships/hyperlink" Target="https://support.office.com/en-gb/article/excel-functions-by-category-5f91f4e9-7b42-46d2-9bd1-63f26a86c0eb?ui=en-US&amp;rs=en-GB&amp;ad=GB" TargetMode="External"/><Relationship Id="rId5" Type="http://schemas.openxmlformats.org/officeDocument/2006/relationships/image" Target="../media/image3.svg"/><Relationship Id="rId15" Type="http://schemas.openxmlformats.org/officeDocument/2006/relationships/image" Target="../media/image7.svg"/><Relationship Id="rId10" Type="http://schemas.openxmlformats.org/officeDocument/2006/relationships/hyperlink" Target="https://support.office.com/en-gb/article/overview-of-formulas-in-excel-ecfdc708-9162-49e8-b993-c311f47ca173?ui=en-US&amp;rs=en-GB&amp;ad=GB" TargetMode="External"/><Relationship Id="rId4" Type="http://schemas.openxmlformats.org/officeDocument/2006/relationships/image" Target="../media/image2.png"/><Relationship Id="rId9" Type="http://schemas.openxmlformats.org/officeDocument/2006/relationships/image" Target="../media/image5.svg"/><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en-gb/article/excel-video-training-9bc05390-e94c-46af-a5b3-d7c22f6990bb?ui=en-US&amp;rs=en-GB&amp;ad=GB" TargetMode="External"/><Relationship Id="rId13" Type="http://schemas.openxmlformats.org/officeDocument/2006/relationships/image" Target="../media/image7.svg"/><Relationship Id="rId3" Type="http://schemas.openxmlformats.org/officeDocument/2006/relationships/hyperlink" Target="https://support.office.com/en-gb/article/sum-function-043e1c7d-7726-4e80-8f32-07b23e057f89?omkt=en-GB" TargetMode="External"/><Relationship Id="rId7" Type="http://schemas.openxmlformats.org/officeDocument/2006/relationships/hyperlink" Target="https://support.office.com/en-gb/article/count-function-a59cd7fc-b623-4d93-87a4-d23bf411294c?omkt=en-GB"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support.office.com/en-gb/article/use-autosum-to-sum-numbers-543941e7-e783-44ef-8317-7d1bb85fe706?ui=en-US&amp;rs=en-GB&amp;ad=GB"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en-gb/article/median-function-d0916313-4753-414c-8537-ce85bdd967d2?ui=en-US&amp;rs=en-GB&amp;ad=GB"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en-gb/article/average-function-047bac88-d466-426c-a32b-8f33eb960cf6?ui=en-US&amp;rs=en-GB&amp;ad=GB" TargetMode="External"/><Relationship Id="rId10" Type="http://schemas.openxmlformats.org/officeDocument/2006/relationships/hyperlink" Target="https://support.office.com/en-gb/article/excel-video-training-9bc05390-e94c-46af-a5b3-d7c22f6990bb?ui=en-US&amp;rs=en-GB&amp;ad=GB" TargetMode="External"/><Relationship Id="rId4" Type="http://schemas.openxmlformats.org/officeDocument/2006/relationships/hyperlink" Target="#'MIN &amp; MAX'!A1"/><Relationship Id="rId9" Type="http://schemas.openxmlformats.org/officeDocument/2006/relationships/hyperlink" Target="https://support.office.com/en-gb/article/mode-function-e45192ce-9122-4980-82ed-4bdc34973120?ocmsassetID=E45192CE-9122-4980-82ED-4BDC34973120&amp;ui=en-US&amp;rs=en-GB&amp;ad=GB"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support.office.com/en-gb/article/min-function-61635d12-920f-4ce2-a70f-96f202dcc152?ui=en-US&amp;rs=en-GB&amp;ad=GB" TargetMode="External"/><Relationship Id="rId6" Type="http://schemas.openxmlformats.org/officeDocument/2006/relationships/image" Target="../media/image8.png"/><Relationship Id="rId5" Type="http://schemas.openxmlformats.org/officeDocument/2006/relationships/hyperlink" Target="https://support.office.com/en-gb/article/excel-video-training-9bc05390-e94c-46af-a5b3-d7c22f6990bb?ui=en-US&amp;rs=en-GB&amp;ad=GB" TargetMode="External"/><Relationship Id="rId4" Type="http://schemas.openxmlformats.org/officeDocument/2006/relationships/hyperlink" Target="https://support.office.com/en-gb/article/max-function-e0012414-9ac8-4b34-9a47-73e662c08098?ui=en-US&amp;rs=en-GB&amp;ad=GB"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en-gb/article/now-function-3337fd29-145a-4347-b2e6-20c904739c46?ui=en-US&amp;rs=en-GB&amp;ad=GB"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support.office.com/en-gb/article/today-function-5eb3078d-a82c-4736-8930-2f51a028fdd9?ui=en-US&amp;rs=en-GB&amp;ad=GB" TargetMode="External"/><Relationship Id="rId10" Type="http://schemas.openxmlformats.org/officeDocument/2006/relationships/hyperlink" Target="https://support.office.com/en-gb/article/date-function-e36c0c8c-4104-49da-ab83-82328b832349?ui=en-US&amp;rs=en-GB&amp;ad=GB" TargetMode="External"/><Relationship Id="rId4" Type="http://schemas.openxmlformats.org/officeDocument/2006/relationships/hyperlink" Target="#'Joining text and numbers'!A1"/><Relationship Id="rId9" Type="http://schemas.openxmlformats.org/officeDocument/2006/relationships/hyperlink" Target="https://support.office.com/en-gb/article/excel-video-training-9bc05390-e94c-46af-a5b3-d7c22f6990bb?ui=en-US&amp;rs=en-GB&amp;ad=GB"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en-gb/article/combine-text-and-numbers-a32c8e0e-90a2-435b-8635-5dd2209044ad?ui=en-US&amp;rs=en-GB&amp;ad=GB"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en-gb/article/text-function-20d5ac4d-7b94-49fd-bb38-93d29371225c?ui=en-US&amp;rs=en-GB&amp;ad=GB" TargetMode="External"/><Relationship Id="rId10" Type="http://schemas.openxmlformats.org/officeDocument/2006/relationships/hyperlink" Target="#'Joining text and numbers'!A55"/><Relationship Id="rId4" Type="http://schemas.openxmlformats.org/officeDocument/2006/relationships/image" Target="../media/image15.svg"/><Relationship Id="rId9" Type="http://schemas.openxmlformats.org/officeDocument/2006/relationships/hyperlink" Target="https://support.office.com/en-gb/article/excel-video-training-9bc05390-e94c-46af-a5b3-d7c22f6990bb?ui=en-US&amp;rs=en-GB&amp;ad=GB"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4.png"/><Relationship Id="rId18" Type="http://schemas.openxmlformats.org/officeDocument/2006/relationships/image" Target="../media/image18.pn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hyperlink" Target="https://support.office.com/en-gb/article/if-function-69aed7c9-4e8a-4755-a9bc-aa8bbff73be2?ui=en-US&amp;rs=en-GB&amp;ad=GB" TargetMode="External"/><Relationship Id="rId17" Type="http://schemas.openxmlformats.org/officeDocument/2006/relationships/hyperlink" Target="https://support.office.com/en-gb/article/if-function-%e2%80%93-nested-formulas-and-avoiding-pitfalls-0b22ff44-f149-44ba-aeb5-4ef99da241c8?ui=en-US&amp;rs=en-GB&amp;ad=GB" TargetMode="External"/><Relationship Id="rId2" Type="http://schemas.openxmlformats.org/officeDocument/2006/relationships/image" Target="../media/image10.png"/><Relationship Id="rId16" Type="http://schemas.openxmlformats.org/officeDocument/2006/relationships/hyperlink" Target="https://support.office.com/en-gb/article/excel-video-training-9bc05390-e94c-46af-a5b3-d7c22f6990bb?ui=en-US&amp;rs=en-GB&amp;ad=GB" TargetMode="External"/><Relationship Id="rId1" Type="http://schemas.openxmlformats.org/officeDocument/2006/relationships/hyperlink" Target="#VLOOKUP!A1"/><Relationship Id="rId6" Type="http://schemas.openxmlformats.org/officeDocument/2006/relationships/hyperlink" Target="https://support.office.com/en-gb/article/Define-and-use-names-in-formulas-4D0F13AC-53B7-422E-AFD2-ABD7FF379C64?omkt=en-GB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support.office.com/en-gb/article/ifs-function-36329a26-37b2-467c-972b-4a39bd951d45?ui=en-US&amp;rs=en-GB&amp;ad=GB"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image" Target="../media/image5.svg"/></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en-gb/article/create-a-pivottable-to-analyze-worksheet-data-a9a84538-bfe9-40a9-a8e9-f99134456576?omkt=en-GB" TargetMode="External"/><Relationship Id="rId13"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hyperlink" Target="https://support.office.com/en-gb/article/iferror-function-c526fd07-caeb-47b8-8bb6-63f3e417f611?ui=en-US&amp;rs=en-GB&amp;ad=GB" TargetMode="External"/><Relationship Id="rId12" Type="http://schemas.openxmlformats.org/officeDocument/2006/relationships/hyperlink" Target="#'IF statements'!A1"/><Relationship Id="rId2" Type="http://schemas.openxmlformats.org/officeDocument/2006/relationships/hyperlink" Target="https://support.office.com/en-gb/article/VLOOKUP-function-0BBC8083-26FE-4963-8AB8-93A18AD188A1?omkt=en-GB" TargetMode="External"/><Relationship Id="rId1" Type="http://schemas.openxmlformats.org/officeDocument/2006/relationships/hyperlink" Target="#'Conditional Functions'!A1"/><Relationship Id="rId6" Type="http://schemas.openxmlformats.org/officeDocument/2006/relationships/hyperlink" Target="https://support.office.com/en-gb/article/excel-video-training-9bc05390-e94c-46af-a5b3-d7c22f6990bb?ui=en-US&amp;rs=en-GB&amp;ad=GB" TargetMode="External"/><Relationship Id="rId11" Type="http://schemas.openxmlformats.org/officeDocument/2006/relationships/hyperlink" Target="#VLOOKUP!A70"/><Relationship Id="rId5" Type="http://schemas.openxmlformats.org/officeDocument/2006/relationships/hyperlink" Target="https://support.microsoft.com/en-gb/help/214142/how-to-use-the-index-and-match-worksheet-functions-with-multiple-crite" TargetMode="External"/><Relationship Id="rId10" Type="http://schemas.openxmlformats.org/officeDocument/2006/relationships/image" Target="../media/image20.svg"/><Relationship Id="rId4" Type="http://schemas.openxmlformats.org/officeDocument/2006/relationships/image" Target="../media/image5.svg"/><Relationship Id="rId9" Type="http://schemas.openxmlformats.org/officeDocument/2006/relationships/image" Target="../media/image19.png"/><Relationship Id="rId14" Type="http://schemas.openxmlformats.org/officeDocument/2006/relationships/image" Target="../media/image11.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en-gb/article/maxifs-function-dfd611e6-da2c-488a-919b-9b6376b28883?ui=en-US&amp;rs=en-GB&amp;ad=GB" TargetMode="External"/><Relationship Id="rId13" Type="http://schemas.openxmlformats.org/officeDocument/2006/relationships/hyperlink" Target="https://support.office.com/en-gb/article/sumifs-function-c9e748f5-7ea7-455d-9406-611cebce642b?ui=en-US&amp;rs=en-GB&amp;ad=GB"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support.office.com/en-gb/article/countifs-function-dda3dc6e-f74e-4aee-88bc-aa8c2a866842?ui=en-US&amp;rs=en-GB&amp;ad=GB" TargetMode="External"/><Relationship Id="rId17" Type="http://schemas.openxmlformats.org/officeDocument/2006/relationships/hyperlink" Target="https://support.office.com/en-gb/article/Create-a-PivotTable-to-analyze-worksheet-data-A9A84538-BFE9-40A9-A8E9-F99134456576?omkt=en-GB" TargetMode="External"/><Relationship Id="rId2" Type="http://schemas.openxmlformats.org/officeDocument/2006/relationships/image" Target="../media/image9.svg"/><Relationship Id="rId16" Type="http://schemas.openxmlformats.org/officeDocument/2006/relationships/hyperlink" Target="https://support.office.com/en-gb/article/create-a-drop-down-list-7693307a-59ef-400a-b769-c5402dce407b?ui=en-US&amp;rs=en-GB&amp;ad=GB"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support.office.com/en-gb/article/minifs-function-6ca1ddaa-079b-4e74-80cc-72eef32e6599?ui=en-US&amp;rs=en-GB&amp;ad=GB" TargetMode="External"/><Relationship Id="rId5" Type="http://schemas.openxmlformats.org/officeDocument/2006/relationships/hyperlink" Target="https://support.office.com/en-gb/article/excel-video-training-9bc05390-e94c-46af-a5b3-d7c22f6990bb?ui=en-US&amp;rs=en-GB&amp;ad=GB" TargetMode="External"/><Relationship Id="rId15" Type="http://schemas.openxmlformats.org/officeDocument/2006/relationships/hyperlink" Target="https://support.office.com/en-gb/article/countif-function-e0de10c6-f885-4e71-abb4-1f464816df34?ui=en-US&amp;rs=en-GB&amp;ad=GB" TargetMode="External"/><Relationship Id="rId10" Type="http://schemas.openxmlformats.org/officeDocument/2006/relationships/hyperlink" Target="https://support.office.com/en-gb/article/averageif-function-faec8e2e-0dec-4308-af69-f5576d8ac642?ui=en-US&amp;rs=en-GB&amp;ad=GB"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support.office.com/en-gb/article/averageifs-function-48910c45-1fc0-4389-a028-f7c5c3001690?ui=en-US&amp;rs=en-GB&amp;ad=GB" TargetMode="External"/><Relationship Id="rId14" Type="http://schemas.openxmlformats.org/officeDocument/2006/relationships/hyperlink" Target="https://support.office.com/en-gb/article/sumif-function-169b8c99-c05c-4483-a712-1697a653039b?ui=en-US&amp;rs=en-GB&amp;ad=GB"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en-gb/article/excel-functions-alphabetical-b3944572-255d-4efb-bb96-c6d90033e188?ui=en-US&amp;rs=en-GB&amp;ad=GB" TargetMode="External"/><Relationship Id="rId13" Type="http://schemas.openxmlformats.org/officeDocument/2006/relationships/image" Target="../media/image9.svg"/><Relationship Id="rId3" Type="http://schemas.openxmlformats.org/officeDocument/2006/relationships/hyperlink" Target="https://support.office.com/en-gb/article/overview-of-formulas-in-excel-ecfdc708-9162-49e8-b993-c311f47ca173?ui=en-US&amp;rs=en-GB&amp;ad=GB" TargetMode="External"/><Relationship Id="rId7" Type="http://schemas.openxmlformats.org/officeDocument/2006/relationships/hyperlink" Target="https://support.office.com/en-gb/article/excel-video-training-9bc05390-e94c-46af-a5b3-d7c22f6990bb?ui=en-US&amp;rs=en-GB&amp;ad=GB"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support.office.com/en-gb/article/excel-functions-by-category-5f91f4e9-7b42-46d2-9bd1-63f26a86c0eb?ui=en-US&amp;rs=en-GB&amp;ad=GB"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support.office.com/en-gb/article/excel-video-training-9bc05390-e94c-46af-a5b3-d7c22f6990bb?ui=en-US&amp;rs=en-GB&amp;ad=GB"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support.office.com/en-gb/article/how-to-avoid-broken-formulas-8309381d-33e8-42f6-b889-84ef6df1d586?ui=en-US&amp;rs=en-GB&amp;ad=GB"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support.office.com/en-gb/article/detect-errors-in-formulas-3a8acca5-1d61-4702-80e0-99a36a2822c1?ui=en-US&amp;rs=en-GB&amp;ad=GB" TargetMode="External"/><Relationship Id="rId14" Type="http://schemas.openxmlformats.org/officeDocument/2006/relationships/hyperlink" Target="https://support.office.com/en-gb/article/evaluate-a-nested-formula-one-step-at-a-time-59a201ae-d1dc-4b15-8586-a70aa409b8a7?ui=en-US&amp;rs=en-GB&amp;ad=GB"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hyperlink" Target="https://support.office.com/en-gb/article/what-s-new-in-excel-2016-for-windows-5fdb9208-ff33-45b6-9e08-1f5cdb3a6c73?ui=en-US&amp;rs=en-GB&amp;ad=GB" TargetMode="External"/><Relationship Id="rId1" Type="http://schemas.openxmlformats.org/officeDocument/2006/relationships/hyperlink" Target="https://go.microsoft.com/fwlink/?linkid=859431" TargetMode="External"/><Relationship Id="rId5" Type="http://schemas.openxmlformats.org/officeDocument/2006/relationships/image" Target="../media/image26.sv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en-gb"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Step" descr="Basics: Doing maths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maths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th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gb" sz="11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gb" sz="1100" b="1" i="0" kern="1200" baseline="0">
                  <a:solidFill>
                    <a:schemeClr val="dk1"/>
                  </a:solidFill>
                  <a:effectLst/>
                  <a:latin typeface="Segoe UI" panose="020B0502040204020203" pitchFamily="34" charset="0"/>
                  <a:ea typeface="+mn-ea"/>
                  <a:cs typeface="Segoe UI" panose="020B0502040204020203" pitchFamily="34" charset="0"/>
                </a:rPr>
                <a:t>Enter</a:t>
              </a:r>
              <a:r>
                <a:rPr lang="en-gb" sz="11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1&#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4943475</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o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322119"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to A10, and totals them. Excel has over 400 functions, which you can explore on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be calculated and the result will be displayed in the cell. To see the formula itself, you can look at the formula bar beneath the Ribbon, or press F2 to enter Edit mode, where you’ll see the formula in the cell. Press Enter again to finalis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be calculated and the result will be displayed in the cell. To see the formula itself, you can look at the formula bar beneath the Ribbon, or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finalise the formula and calculate the result.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114300</xdr:rowOff>
    </xdr:from>
    <xdr:to>
      <xdr:col>8</xdr:col>
      <xdr:colOff>285750</xdr:colOff>
      <xdr:row>13</xdr:row>
      <xdr:rowOff>152399</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40"/>
          <a:ext cx="2477955" cy="1341119"/>
          <a:chOff x="9048750" y="3743325"/>
          <a:chExt cx="2393412" cy="1381124"/>
        </a:xfrm>
      </xdr:grpSpPr>
      <xdr:sp macro="" textlink="">
        <xdr:nvSpPr>
          <xdr:cNvPr id="140" name="Step" descr="EXTRA CREDIT&#10;You can raise a value to a power by using the carat (^) symbol, like =A1^A2. Enter it by pressing Shift+6.&#10;">
            <a:extLst>
              <a:ext uri="{FF2B5EF4-FFF2-40B4-BE49-F238E27FC236}">
                <a16:creationId xmlns:a16="http://schemas.microsoft.com/office/drawing/2014/main" id="{675C53E6-D7B5-493F-A9ED-94DE7985453E}"/>
              </a:ext>
            </a:extLst>
          </xdr:cNvPr>
          <xdr:cNvSpPr txBox="1"/>
        </xdr:nvSpPr>
        <xdr:spPr>
          <a:xfrm>
            <a:off x="9648643" y="3895724"/>
            <a:ext cx="1793519"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You can raise a value to a power by using the carat (</a:t>
            </a:r>
            <a:r>
              <a:rPr lang="en-gb" sz="1100" b="1" i="0" kern="1200" baseline="0">
                <a:solidFill>
                  <a:schemeClr val="dk1"/>
                </a:solidFill>
                <a:effectLst/>
                <a:latin typeface="+mn-lt"/>
                <a:ea typeface="+mn-ea"/>
                <a:cs typeface="+mn-cs"/>
              </a:rPr>
              <a:t>^</a:t>
            </a:r>
            <a:r>
              <a:rPr lang="en-gb" sz="1100" b="0" i="0" kern="1200" baseline="0">
                <a:solidFill>
                  <a:schemeClr val="dk1"/>
                </a:solidFill>
                <a:effectLst/>
                <a:latin typeface="+mn-lt"/>
                <a:ea typeface="+mn-ea"/>
                <a:cs typeface="+mn-cs"/>
              </a:rPr>
              <a:t>) symbol, like =C3^C4. Enter it by pressing </a:t>
            </a:r>
            <a:r>
              <a:rPr lang="en-gb" sz="1100" b="1" i="0" kern="1200" baseline="0">
                <a:solidFill>
                  <a:schemeClr val="dk1"/>
                </a:solidFill>
                <a:effectLst/>
                <a:latin typeface="+mn-lt"/>
                <a:ea typeface="+mn-ea"/>
                <a:cs typeface="+mn-cs"/>
              </a:rPr>
              <a:t>Shift+6</a:t>
            </a:r>
            <a:r>
              <a:rPr lang="en-gb"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7"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10"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1"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2"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159"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3" tooltip="Select to attend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3"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5412555</xdr:colOff>
      <xdr:row>4</xdr:row>
      <xdr:rowOff>114300</xdr:rowOff>
    </xdr:from>
    <xdr:to>
      <xdr:col>4</xdr:col>
      <xdr:colOff>958887</xdr:colOff>
      <xdr:row>15</xdr:row>
      <xdr:rowOff>25817</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281235" y="1463040"/>
          <a:ext cx="2465292" cy="1961297"/>
          <a:chOff x="6219825" y="1332153"/>
          <a:chExt cx="2270982" cy="2026067"/>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566246" y="1149853"/>
            <a:ext cx="563095" cy="927696"/>
            <a:chOff x="9871108" y="1184220"/>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19825" y="1993317"/>
            <a:ext cx="388117" cy="337815"/>
          </a:xfrm>
          <a:prstGeom prst="rect">
            <a:avLst/>
          </a:prstGeom>
        </xdr:spPr>
      </xdr:pic>
      <xdr:sp macro="" textlink="">
        <xdr:nvSpPr>
          <xdr:cNvPr id="166" name="Instructions" descr="TAKE A LOOK AT THIS&#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521695" y="1948519"/>
            <a:ext cx="1969112"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TAKE A LOOK AT THIS</a:t>
            </a:r>
          </a:p>
          <a:p>
            <a:pPr rtl="0"/>
            <a:r>
              <a:rPr lang="en-gb" sz="1200" kern="1200">
                <a:solidFill>
                  <a:schemeClr val="dk1"/>
                </a:solidFill>
                <a:effectLst/>
                <a:latin typeface="+mn-lt"/>
                <a:ea typeface="+mn-ea"/>
                <a:cs typeface="+mn-cs"/>
              </a:rPr>
              <a:t>Change</a:t>
            </a:r>
            <a:r>
              <a:rPr lang="en-gb"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1</xdr:col>
      <xdr:colOff>5323810</xdr:colOff>
      <xdr:row>25</xdr:row>
      <xdr:rowOff>129774</xdr:rowOff>
    </xdr:from>
    <xdr:to>
      <xdr:col>12</xdr:col>
      <xdr:colOff>259530</xdr:colOff>
      <xdr:row>56</xdr:row>
      <xdr:rowOff>57150</xdr:rowOff>
    </xdr:to>
    <xdr:grpSp>
      <xdr:nvGrpSpPr>
        <xdr:cNvPr id="169" name="Group 168">
          <a:extLst>
            <a:ext uri="{FF2B5EF4-FFF2-40B4-BE49-F238E27FC236}">
              <a16:creationId xmlns:a16="http://schemas.microsoft.com/office/drawing/2014/main" id="{50CFB57E-402D-428F-8A7B-D2B6BD7D7634}"/>
            </a:ext>
          </a:extLst>
        </xdr:cNvPr>
        <xdr:cNvGrpSpPr/>
      </xdr:nvGrpSpPr>
      <xdr:grpSpPr>
        <a:xfrm>
          <a:off x="6192490" y="5593314"/>
          <a:ext cx="8202140" cy="5741436"/>
          <a:chOff x="8257510" y="6178149"/>
          <a:chExt cx="7842095" cy="5975751"/>
        </a:xfrm>
      </xdr:grpSpPr>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2486606" y="6178149"/>
            <a:ext cx="3612999" cy="1927626"/>
            <a:chOff x="7053810" y="15226304"/>
            <a:chExt cx="3722724" cy="1662195"/>
          </a:xfrm>
        </xdr:grpSpPr>
        <xdr:sp macro="" textlink="">
          <xdr:nvSpPr>
            <xdr:cNvPr id="212" name="Step" descr="GOOD TO KNOW&#10;Constants are values that you enter in cells or formulas. While =10+20 might calculate the same result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4” or “8”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Constants are values that you enter in cells or formulas. While =10+20 might calculate the same result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en-gb" sz="1100" b="0" i="0" kern="1200" baseline="0">
                  <a:solidFill>
                    <a:schemeClr val="dk1"/>
                  </a:solidFill>
                  <a:effectLst/>
                  <a:latin typeface="+mn-lt"/>
                  <a:ea typeface="+mn-ea"/>
                  <a:cs typeface="+mn-cs"/>
                </a:rPr>
                <a:t>For example: Select the yellow cell with </a:t>
              </a:r>
              <a:r>
                <a:rPr lang="en-gb" sz="1100" b="1" i="0" kern="1200" baseline="0">
                  <a:solidFill>
                    <a:schemeClr val="dk1"/>
                  </a:solidFill>
                  <a:effectLst/>
                  <a:latin typeface="+mn-lt"/>
                  <a:ea typeface="+mn-ea"/>
                  <a:cs typeface="+mn-cs"/>
                </a:rPr>
                <a:t>12 </a:t>
              </a:r>
              <a:r>
                <a:rPr lang="en-gb" sz="1100" b="0" i="0" kern="1200" baseline="0">
                  <a:solidFill>
                    <a:schemeClr val="dk1"/>
                  </a:solidFill>
                  <a:effectLst/>
                  <a:latin typeface="+mn-lt"/>
                  <a:ea typeface="+mn-ea"/>
                  <a:cs typeface="+mn-cs"/>
                </a:rPr>
                <a:t>below. You’ll see we used the </a:t>
              </a:r>
              <a:r>
                <a:rPr lang="en-gb" sz="1100" b="1" i="0" kern="1200" baseline="0">
                  <a:solidFill>
                    <a:schemeClr val="dk1"/>
                  </a:solidFill>
                  <a:effectLst/>
                  <a:latin typeface="+mn-lt"/>
                  <a:ea typeface="+mn-ea"/>
                  <a:cs typeface="+mn-cs"/>
                </a:rPr>
                <a:t>SUM </a:t>
              </a:r>
              <a:r>
                <a:rPr lang="en-gb" sz="1100" b="0" i="0" kern="1200" baseline="0">
                  <a:solidFill>
                    <a:schemeClr val="dk1"/>
                  </a:solidFill>
                  <a:effectLst/>
                  <a:latin typeface="+mn-lt"/>
                  <a:ea typeface="+mn-ea"/>
                  <a:cs typeface="+mn-cs"/>
                </a:rPr>
                <a:t>function with a range of cells. We didn’t type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53810" y="15226304"/>
              <a:ext cx="323347" cy="349115"/>
            </a:xfrm>
            <a:prstGeom prst="rect">
              <a:avLst/>
            </a:prstGeom>
          </xdr:spPr>
        </xdr:pic>
      </xdr:grpSp>
      <xdr:grpSp>
        <xdr:nvGrpSpPr>
          <xdr:cNvPr id="171" name="Group 170">
            <a:extLst>
              <a:ext uri="{FF2B5EF4-FFF2-40B4-BE49-F238E27FC236}">
                <a16:creationId xmlns:a16="http://schemas.microsoft.com/office/drawing/2014/main" id="{7440BE31-1C3C-4F77-9B4A-DA987875D6C4}"/>
              </a:ext>
            </a:extLst>
          </xdr:cNvPr>
          <xdr:cNvGrpSpPr/>
        </xdr:nvGrpSpPr>
        <xdr:grpSpPr>
          <a:xfrm>
            <a:off x="8319789" y="6402998"/>
            <a:ext cx="4083384" cy="1294710"/>
            <a:chOff x="8319789" y="6402998"/>
            <a:chExt cx="4083384" cy="1294710"/>
          </a:xfrm>
        </xdr:grpSpPr>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8319789" y="6663836"/>
              <a:ext cx="2025984"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9207945" y="6645021"/>
              <a:ext cx="121918" cy="1961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8921188" y="6402998"/>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8791631" y="6974379"/>
              <a:ext cx="121918" cy="48264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8476827" y="7293605"/>
              <a:ext cx="744606" cy="404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9638165" y="6973189"/>
              <a:ext cx="121918" cy="48502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9322171" y="7293605"/>
              <a:ext cx="746987" cy="404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10369130" y="6663836"/>
              <a:ext cx="2034043"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11262049" y="6643189"/>
              <a:ext cx="121918" cy="19985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10971994" y="6402998"/>
              <a:ext cx="72473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10843170" y="6973646"/>
              <a:ext cx="121918" cy="48411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10527633" y="7293605"/>
              <a:ext cx="746072" cy="404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11694101" y="6973189"/>
              <a:ext cx="121918" cy="48502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11378107" y="7293605"/>
              <a:ext cx="746986" cy="404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grpSp>
      <xdr:grpSp>
        <xdr:nvGrpSpPr>
          <xdr:cNvPr id="172" name="Group 171">
            <a:extLst>
              <a:ext uri="{FF2B5EF4-FFF2-40B4-BE49-F238E27FC236}">
                <a16:creationId xmlns:a16="http://schemas.microsoft.com/office/drawing/2014/main" id="{27FB8F52-9F55-421A-90F9-FEBBC5A87DF7}"/>
              </a:ext>
            </a:extLst>
          </xdr:cNvPr>
          <xdr:cNvGrpSpPr/>
        </xdr:nvGrpSpPr>
        <xdr:grpSpPr>
          <a:xfrm>
            <a:off x="8257510" y="8164390"/>
            <a:ext cx="3790306" cy="1627310"/>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903299"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61712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382094" y="8209016"/>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382094" y="7694666"/>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90286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A range of cells has a starting cell, colon and </a:t>
              </a:r>
              <a:r>
                <a:rPr lang="en-gb"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 </a:t>
              </a:r>
            </a:p>
          </xdr:txBody>
        </xdr:sp>
      </xdr:grpSp>
      <xdr:grpSp>
        <xdr:nvGrpSpPr>
          <xdr:cNvPr id="173" name="Group 172">
            <a:extLst>
              <a:ext uri="{FF2B5EF4-FFF2-40B4-BE49-F238E27FC236}">
                <a16:creationId xmlns:a16="http://schemas.microsoft.com/office/drawing/2014/main" id="{00BBB77A-8EDC-44E9-8BC6-1F471670BF40}"/>
              </a:ext>
            </a:extLst>
          </xdr:cNvPr>
          <xdr:cNvGrpSpPr/>
        </xdr:nvGrpSpPr>
        <xdr:grpSpPr>
          <a:xfrm>
            <a:off x="8257510" y="10012240"/>
            <a:ext cx="6594320" cy="2141660"/>
            <a:chOff x="8257510" y="10012240"/>
            <a:chExt cx="6594320"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0" y="10628434"/>
              <a:ext cx="546084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382094" y="9875891"/>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902866"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2306144" y="9875891"/>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826916"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382094" y="10399766"/>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86073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A range of cells</a:t>
              </a:r>
            </a:p>
            <a:p>
              <a:pPr marL="0" marR="0"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2315669" y="10399766"/>
              <a:ext cx="121918" cy="159477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516309" y="11303630"/>
              <a:ext cx="1773422"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Another range of cells</a:t>
              </a:r>
            </a:p>
            <a:p>
              <a:pPr marL="0" marR="0" rtl="0">
                <a:lnSpc>
                  <a:spcPct val="107000"/>
                </a:lnSpc>
                <a:spcBef>
                  <a:spcPts val="0"/>
                </a:spcBef>
                <a:spcAft>
                  <a:spcPts val="800"/>
                </a:spcAft>
              </a:pPr>
              <a:r>
                <a:rPr lang="en-gb"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1341141" y="10012240"/>
              <a:ext cx="2729639" cy="257175"/>
            </a:xfrm>
            <a:prstGeom prst="rect">
              <a:avLst/>
            </a:prstGeom>
            <a:no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1129971"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445541" y="11698165"/>
              <a:ext cx="2729639" cy="257175"/>
            </a:xfrm>
            <a:prstGeom prst="rect">
              <a:avLst/>
            </a:prstGeom>
            <a:no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282121"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2122191" y="11698165"/>
              <a:ext cx="2729639" cy="455735"/>
            </a:xfrm>
            <a:prstGeom prst="rect">
              <a:avLst/>
            </a:prstGeom>
            <a:no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gb"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gb"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gb"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49900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s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s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Double-click this cell. You’ll notice the </a:t>
            </a:r>
            <a:r>
              <a:rPr lang="en-gb" sz="1100" b="0" i="1" kern="1200" baseline="0">
                <a:solidFill>
                  <a:schemeClr val="dk1"/>
                </a:solidFill>
                <a:effectLst/>
                <a:latin typeface="+mn-lt"/>
                <a:ea typeface="+mn-ea"/>
                <a:cs typeface="+mn-cs"/>
              </a:rPr>
              <a:t>100</a:t>
            </a:r>
            <a:r>
              <a:rPr lang="en-gb" sz="1100" b="0" i="0" kern="1200" baseline="0">
                <a:solidFill>
                  <a:schemeClr val="dk1"/>
                </a:solidFill>
                <a:effectLst/>
                <a:latin typeface="+mn-lt"/>
                <a:ea typeface="+mn-ea"/>
                <a:cs typeface="+mn-cs"/>
              </a:rPr>
              <a:t> towards the end. Although it’s possible to put numbers in a formula like this, we don’t recommend it unless it’s absolutely necessary. This is known as a </a:t>
            </a:r>
            <a:r>
              <a:rPr lang="en-gb" sz="1100" b="1" i="0" kern="1200" baseline="0">
                <a:solidFill>
                  <a:schemeClr val="dk1"/>
                </a:solidFill>
                <a:effectLst/>
                <a:latin typeface="+mn-lt"/>
                <a:ea typeface="+mn-ea"/>
                <a:cs typeface="+mn-cs"/>
              </a:rPr>
              <a:t>constant</a:t>
            </a:r>
            <a:r>
              <a:rPr lang="en-gb"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7421</xdr:colOff>
      <xdr:row>33</xdr:row>
      <xdr:rowOff>120650</xdr:rowOff>
    </xdr:from>
    <xdr:to>
      <xdr:col>8</xdr:col>
      <xdr:colOff>447677</xdr:colOff>
      <xdr:row>41</xdr:row>
      <xdr:rowOff>6351</xdr:rowOff>
    </xdr:to>
    <xdr:grpSp>
      <xdr:nvGrpSpPr>
        <xdr:cNvPr id="199" name="Group 198">
          <a:extLst>
            <a:ext uri="{FF2B5EF4-FFF2-40B4-BE49-F238E27FC236}">
              <a16:creationId xmlns:a16="http://schemas.microsoft.com/office/drawing/2014/main" id="{786F7A4A-8EBD-4004-A856-9775A628066E}"/>
            </a:ext>
          </a:extLst>
        </xdr:cNvPr>
        <xdr:cNvGrpSpPr/>
      </xdr:nvGrpSpPr>
      <xdr:grpSpPr>
        <a:xfrm>
          <a:off x="8389421" y="6978650"/>
          <a:ext cx="3221556" cy="1409701"/>
          <a:chOff x="8132245" y="6902449"/>
          <a:chExt cx="2959149" cy="1409701"/>
        </a:xfrm>
      </xdr:grpSpPr>
      <xdr:pic>
        <xdr:nvPicPr>
          <xdr:cNvPr id="200" name="Status bar graphic">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839791" y="7708999"/>
            <a:ext cx="979606" cy="200000"/>
          </a:xfrm>
          <a:prstGeom prst="rect">
            <a:avLst/>
          </a:prstGeom>
        </xdr:spPr>
      </xdr:pic>
      <xdr:grpSp>
        <xdr:nvGrpSpPr>
          <xdr:cNvPr id="201" name="TAKE A LOOK AT THIS" descr="TAKE A LOOK AT THIS&#10;Select these cells. Then, in the bottom-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32245" y="6902449"/>
            <a:ext cx="2959149" cy="1409701"/>
            <a:chOff x="7539454" y="7993902"/>
            <a:chExt cx="2978691"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TAKE A LOOK AT THIS&#10;Select these cells. Then in the bottom-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8" y="7993902"/>
              <a:ext cx="238561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TAKE A LOOK AT THIS</a:t>
              </a: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Select these cells. Then, in the bottom-right corner of the</a:t>
              </a:r>
              <a:r>
                <a:rPr lang="en-gb"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en-gb"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Try the </a:t>
            </a:r>
            <a:r>
              <a:rPr lang="en-gb" sz="1100" b="1" i="0" kern="1200" baseline="0">
                <a:solidFill>
                  <a:schemeClr val="dk1"/>
                </a:solidFill>
                <a:effectLst/>
                <a:latin typeface="+mn-lt"/>
                <a:ea typeface="+mn-ea"/>
                <a:cs typeface="+mn-cs"/>
              </a:rPr>
              <a:t>COUNT</a:t>
            </a:r>
            <a:r>
              <a:rPr lang="en-gb" sz="1100" b="0" i="0" kern="1200" baseline="0">
                <a:solidFill>
                  <a:schemeClr val="dk1"/>
                </a:solidFill>
                <a:effectLst/>
                <a:latin typeface="+mn-lt"/>
                <a:ea typeface="+mn-ea"/>
                <a:cs typeface="+mn-cs"/>
              </a:rPr>
              <a:t> function using any of the methods you’ve already tried. The </a:t>
            </a:r>
            <a:r>
              <a:rPr lang="en-gb" sz="1100" b="1" i="0" kern="1200" baseline="0">
                <a:solidFill>
                  <a:schemeClr val="dk1"/>
                </a:solidFill>
                <a:effectLst/>
                <a:latin typeface="+mn-lt"/>
                <a:ea typeface="+mn-ea"/>
                <a:cs typeface="+mn-cs"/>
              </a:rPr>
              <a:t>COUNT</a:t>
            </a:r>
            <a:r>
              <a:rPr lang="en-gb" sz="1100" b="0" i="0" kern="1200" baseline="0">
                <a:solidFill>
                  <a:schemeClr val="dk1"/>
                </a:solidFill>
                <a:effectLst/>
                <a:latin typeface="+mn-lt"/>
                <a:ea typeface="+mn-ea"/>
                <a:cs typeface="+mn-cs"/>
              </a:rPr>
              <a:t> function counts the number of cells in a range that contains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246037"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kern="0" spc="-2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gb"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gb"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gb" sz="1100" b="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gb"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gb" sz="1100" kern="1200" spc="-20" baseline="0">
                <a:solidFill>
                  <a:schemeClr val="dk1"/>
                </a:solidFill>
                <a:effectLst/>
                <a:latin typeface="Segoe UI" panose="020B0502040204020203" pitchFamily="34" charset="0"/>
                <a:ea typeface="+mn-ea"/>
                <a:cs typeface="Segoe UI" panose="020B0502040204020203" pitchFamily="34" charset="0"/>
              </a:rPr>
              <a:t>where functions are listed by category, like </a:t>
            </a:r>
            <a:r>
              <a:rPr lang="en-gb" sz="1100" b="1" kern="1200" spc="-20" baseline="0">
                <a:solidFill>
                  <a:schemeClr val="dk1"/>
                </a:solidFill>
                <a:effectLst/>
                <a:latin typeface="Segoe UI" panose="020B0502040204020203" pitchFamily="34" charset="0"/>
                <a:ea typeface="+mn-ea"/>
                <a:cs typeface="Segoe UI" panose="020B0502040204020203" pitchFamily="34" charset="0"/>
              </a:rPr>
              <a:t>Text</a:t>
            </a:r>
            <a:r>
              <a:rPr lang="en-gb" sz="1100" kern="1200" spc="-20" baseline="0">
                <a:solidFill>
                  <a:schemeClr val="dk1"/>
                </a:solidFill>
                <a:effectLst/>
                <a:latin typeface="Segoe UI" panose="020B0502040204020203" pitchFamily="34" charset="0"/>
                <a:ea typeface="+mn-ea"/>
                <a:cs typeface="Segoe UI" panose="020B0502040204020203" pitchFamily="34" charset="0"/>
              </a:rPr>
              <a:t>, </a:t>
            </a:r>
            <a:r>
              <a:rPr lang="en-gb" sz="1100" b="1" kern="1200" spc="-20" baseline="0">
                <a:solidFill>
                  <a:schemeClr val="dk1"/>
                </a:solidFill>
                <a:effectLst/>
                <a:latin typeface="Segoe UI" panose="020B0502040204020203" pitchFamily="34" charset="0"/>
                <a:ea typeface="+mn-ea"/>
                <a:cs typeface="Segoe UI" panose="020B0502040204020203" pitchFamily="34" charset="0"/>
              </a:rPr>
              <a:t>Date &amp; Time</a:t>
            </a:r>
            <a:r>
              <a:rPr lang="en-gb" sz="1100" kern="1200" spc="-20" baseline="0">
                <a:solidFill>
                  <a:schemeClr val="dk1"/>
                </a:solidFill>
                <a:effectLst/>
                <a:latin typeface="Segoe UI" panose="020B0502040204020203" pitchFamily="34" charset="0"/>
                <a:ea typeface="+mn-ea"/>
                <a:cs typeface="Segoe UI" panose="020B0502040204020203" pitchFamily="34" charset="0"/>
              </a:rPr>
              <a:t> etc.</a:t>
            </a: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gb"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rtl="0">
              <a:defRPr/>
            </a:pPr>
            <a:endParaRPr lang="en-US"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n-gb"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gb"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gb" sz="1100" b="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gb"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gb"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gb"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rtl="0">
              <a:defRPr/>
            </a:pPr>
            <a:endParaRPr lang="en-US"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gb"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gb"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spc="-2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1092941</xdr:colOff>
      <xdr:row>34</xdr:row>
      <xdr:rowOff>152401</xdr:rowOff>
    </xdr:from>
    <xdr:to>
      <xdr:col>1</xdr:col>
      <xdr:colOff>3026274</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940666" y="7200901"/>
          <a:ext cx="1933333"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a:t>
            </a:r>
            <a:r>
              <a:rPr lang="en-gb" sz="1100" b="1">
                <a:effectLst/>
                <a:latin typeface="Calibri" panose="020F0502020204030204" pitchFamily="34" charset="0"/>
                <a:ea typeface="Calibri" panose="020F0502020204030204" pitchFamily="34" charset="0"/>
                <a:cs typeface="Times New Roman" panose="02020603050405020304" pitchFamily="18" charset="0"/>
              </a:rPr>
              <a:t>TODAY</a:t>
            </a:r>
            <a:r>
              <a:rPr lang="en-gb"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gb"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sp macro="" textlink="">
          <xdr:nvSpPr>
            <xdr:cNvPr id="242" name="Step" descr="Here’s a handy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handy keyboard shortcut. Select cell D15, then press 	   then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56355"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64539"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ing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panose="020B0502040204020203" pitchFamily="34" charset="0"/>
              </a:rPr>
              <a:t>EXTRA CREDIT</a:t>
            </a:r>
          </a:p>
          <a:p>
            <a:pPr lvl="0" rtl="0">
              <a:defRPr/>
            </a:pPr>
            <a:r>
              <a:rPr lang="en-gb" sz="1200"/>
              <a:t>Try using</a:t>
            </a:r>
            <a:r>
              <a:rPr lang="en-gb" sz="1200" baseline="0"/>
              <a:t> </a:t>
            </a:r>
            <a:r>
              <a:rPr lang="en-gb" sz="1200" b="1"/>
              <a:t>MEDIAN</a:t>
            </a:r>
            <a:r>
              <a:rPr lang="en-gb" sz="1200"/>
              <a:t> or </a:t>
            </a:r>
            <a:r>
              <a:rPr lang="en-gb" sz="1200" b="1"/>
              <a:t>MODE</a:t>
            </a:r>
            <a:r>
              <a:rPr lang="en-gb" sz="1200"/>
              <a:t> here.</a:t>
            </a:r>
            <a:r>
              <a:rPr lang="en-gb" sz="1200" baseline="0"/>
              <a:t> </a:t>
            </a:r>
          </a:p>
          <a:p>
            <a:pPr lvl="0" rtl="0">
              <a:defRPr/>
            </a:pPr>
            <a:endParaRPr lang="en-US" sz="1200" baseline="0"/>
          </a:p>
          <a:p>
            <a:pPr lvl="0" rtl="0">
              <a:defRPr/>
            </a:pPr>
            <a:r>
              <a:rPr lang="en-gb" sz="1200" b="1" baseline="0"/>
              <a:t>MEDIAN</a:t>
            </a:r>
            <a:r>
              <a:rPr lang="en-gb" sz="1200" baseline="0"/>
              <a:t> gives you the value in the middle of the data set, while </a:t>
            </a:r>
          </a:p>
          <a:p>
            <a:pPr lvl="0" rtl="0">
              <a:defRPr/>
            </a:pPr>
            <a:r>
              <a:rPr lang="en-gb" sz="1200" b="1" baseline="0"/>
              <a:t>MODE</a:t>
            </a:r>
            <a:r>
              <a:rPr lang="en-gb"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kern="1200">
                <a:solidFill>
                  <a:schemeClr val="dk1"/>
                </a:solidFill>
                <a:latin typeface="Segoe UI" panose="020B0502040204020203" pitchFamily="34" charset="0"/>
                <a:ea typeface="+mn-ea"/>
                <a:cs typeface="Segoe UI" panose="020B0502040204020203" pitchFamily="34" charset="0"/>
              </a:rPr>
              <a:t>Use the </a:t>
            </a:r>
            <a:r>
              <a:rPr lang="en-gb" sz="1100" b="1" kern="1200">
                <a:solidFill>
                  <a:schemeClr val="dk1"/>
                </a:solidFill>
                <a:latin typeface="Segoe UI" panose="020B0502040204020203" pitchFamily="34" charset="0"/>
                <a:ea typeface="+mn-ea"/>
                <a:cs typeface="Segoe UI" panose="020B0502040204020203" pitchFamily="34" charset="0"/>
              </a:rPr>
              <a:t>AVERAGE</a:t>
            </a:r>
            <a:r>
              <a:rPr lang="en-gb"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TAKE A LOOK AT THIS" descr="TAKE A LOOK AT THIS&#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TAKE A LOOK AT THIS&#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TAKE A LOOK AT THIS</a:t>
            </a: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Select any range of numbers</a:t>
            </a:r>
            <a:r>
              <a:rPr lang="en-gb"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kern="1200">
              <a:solidFill>
                <a:schemeClr val="dk1"/>
              </a:solidFill>
              <a:latin typeface="Segoe UI" panose="020B0502040204020203" pitchFamily="34" charset="0"/>
              <a:ea typeface="+mn-ea"/>
              <a:cs typeface="Segoe UI" panose="020B0502040204020203" pitchFamily="34" charset="0"/>
            </a:rPr>
            <a:t>Use the </a:t>
          </a:r>
          <a:r>
            <a:rPr lang="en-gb" sz="1100" b="1" kern="1200">
              <a:solidFill>
                <a:schemeClr val="dk1"/>
              </a:solidFill>
              <a:latin typeface="Segoe UI" panose="020B0502040204020203" pitchFamily="34" charset="0"/>
              <a:ea typeface="+mn-ea"/>
              <a:cs typeface="Segoe UI" panose="020B0502040204020203" pitchFamily="34" charset="0"/>
            </a:rPr>
            <a:t>MIN</a:t>
          </a:r>
          <a:r>
            <a:rPr lang="en-gb"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16905"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295275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50895" cy="1849310"/>
          <a:chOff x="6778625" y="15514765"/>
          <a:chExt cx="3331710"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6737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You can use either </a:t>
            </a:r>
            <a:r>
              <a:rPr lang="en-gb" sz="1100" b="1" i="0" kern="1200" baseline="0">
                <a:solidFill>
                  <a:schemeClr val="dk1"/>
                </a:solidFill>
                <a:effectLst/>
                <a:latin typeface="+mn-lt"/>
                <a:ea typeface="+mn-ea"/>
                <a:cs typeface="+mn-cs"/>
              </a:rPr>
              <a:t>MIN</a:t>
            </a:r>
            <a:r>
              <a:rPr lang="en-gb" sz="1100" b="0" i="0" kern="1200" baseline="0">
                <a:solidFill>
                  <a:schemeClr val="dk1"/>
                </a:solidFill>
                <a:effectLst/>
                <a:latin typeface="+mn-lt"/>
                <a:ea typeface="+mn-ea"/>
                <a:cs typeface="+mn-cs"/>
              </a:rPr>
              <a:t> or </a:t>
            </a:r>
            <a:r>
              <a:rPr lang="en-gb" sz="1100" b="1" i="0" kern="1200" baseline="0">
                <a:solidFill>
                  <a:schemeClr val="dk1"/>
                </a:solidFill>
                <a:effectLst/>
                <a:latin typeface="+mn-lt"/>
                <a:ea typeface="+mn-ea"/>
                <a:cs typeface="+mn-cs"/>
              </a:rPr>
              <a:t>MAX</a:t>
            </a:r>
            <a:r>
              <a:rPr lang="en-gb"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95250</xdr:colOff>
      <xdr:row>11</xdr:row>
      <xdr:rowOff>103518</xdr:rowOff>
    </xdr:from>
    <xdr:ext cx="3600450" cy="1487156"/>
    <xdr:grpSp>
      <xdr:nvGrpSpPr>
        <xdr:cNvPr id="110" name="GOOD TO KNOW" descr="GOOD TO KNOW&#10;Excel keeps dates and times based on the number of days starting from 1 January 1900. Times are kept in fractional portions of a day based on minutes.&#10;&#10;So 12:30 PM on 01/01/2017 is actually stored as 42736.5208.&#10;&#10;">
          <a:extLst>
            <a:ext uri="{FF2B5EF4-FFF2-40B4-BE49-F238E27FC236}">
              <a16:creationId xmlns:a16="http://schemas.microsoft.com/office/drawing/2014/main" id="{5FD1EED7-BA78-459D-8631-C577BE6708FF}"/>
            </a:ext>
          </a:extLst>
        </xdr:cNvPr>
        <xdr:cNvGrpSpPr/>
      </xdr:nvGrpSpPr>
      <xdr:grpSpPr>
        <a:xfrm>
          <a:off x="6648450" y="3014358"/>
          <a:ext cx="3600450" cy="1487156"/>
          <a:chOff x="6778625" y="15449519"/>
          <a:chExt cx="3432175" cy="1428432"/>
        </a:xfrm>
      </xdr:grpSpPr>
      <xdr:sp macro="" textlink="">
        <xdr:nvSpPr>
          <xdr:cNvPr id="111" name="Step" descr="GOOD TO KNOW&#10;Excel keeps dates and times based on the number of days starting from 1 January 1900. Times are kept in fractional portions of a day based on minutes. So 12:30 PM on 01/01/2017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Excel keeps dates and times based on the number of days starting from 1 January 1900. Times are kept in fractional portions of a day based on minutes. So 12:30 PM on 01/01/2017 is actually stored as 42736.5208. If the Time or Date show up as numbers like that, then you can press </a:t>
            </a:r>
            <a:r>
              <a:rPr lang="en-gb" sz="1100" b="1" i="0" kern="1200" baseline="0">
                <a:solidFill>
                  <a:schemeClr val="dk1"/>
                </a:solidFill>
                <a:effectLst/>
                <a:latin typeface="+mn-lt"/>
                <a:ea typeface="+mn-ea"/>
                <a:cs typeface="+mn-cs"/>
              </a:rPr>
              <a:t>Ctrl+1</a:t>
            </a:r>
            <a:r>
              <a:rPr lang="en-gb" sz="1100" b="0" i="0" kern="1200" baseline="0">
                <a:solidFill>
                  <a:schemeClr val="dk1"/>
                </a:solidFill>
                <a:effectLst/>
                <a:latin typeface="+mn-lt"/>
                <a:ea typeface="+mn-ea"/>
                <a:cs typeface="+mn-cs"/>
              </a:rPr>
              <a:t> &gt; </a:t>
            </a:r>
            <a:r>
              <a:rPr lang="en-gb" sz="1100" b="1" i="0" kern="1200" baseline="0">
                <a:solidFill>
                  <a:schemeClr val="dk1"/>
                </a:solidFill>
                <a:effectLst/>
                <a:latin typeface="+mn-lt"/>
                <a:ea typeface="+mn-ea"/>
                <a:cs typeface="+mn-cs"/>
              </a:rPr>
              <a:t>Number</a:t>
            </a:r>
            <a:r>
              <a:rPr lang="en-gb" sz="1100" b="0" i="0" kern="1200" baseline="0">
                <a:solidFill>
                  <a:schemeClr val="dk1"/>
                </a:solidFill>
                <a:effectLst/>
                <a:latin typeface="+mn-lt"/>
                <a:ea typeface="+mn-ea"/>
                <a:cs typeface="+mn-cs"/>
              </a:rPr>
              <a:t> &gt; select a </a:t>
            </a:r>
            <a:r>
              <a:rPr lang="en-gb" sz="1100" b="1" i="0" kern="1200" baseline="0">
                <a:solidFill>
                  <a:schemeClr val="dk1"/>
                </a:solidFill>
                <a:effectLst/>
                <a:latin typeface="+mn-lt"/>
                <a:ea typeface="+mn-ea"/>
                <a:cs typeface="+mn-cs"/>
              </a:rPr>
              <a:t>Date </a:t>
            </a:r>
            <a:r>
              <a:rPr lang="en-gb" sz="1100" b="0" i="0" kern="1200" baseline="0">
                <a:solidFill>
                  <a:schemeClr val="dk1"/>
                </a:solidFill>
                <a:effectLst/>
                <a:latin typeface="+mn-lt"/>
                <a:ea typeface="+mn-ea"/>
                <a:cs typeface="+mn-cs"/>
              </a:rPr>
              <a:t>or </a:t>
            </a:r>
            <a:r>
              <a:rPr lang="en-gb" sz="1100" b="1" i="0" kern="1200" baseline="0">
                <a:solidFill>
                  <a:schemeClr val="dk1"/>
                </a:solidFill>
                <a:effectLst/>
                <a:latin typeface="+mn-lt"/>
                <a:ea typeface="+mn-ea"/>
                <a:cs typeface="+mn-cs"/>
              </a:rPr>
              <a:t>Time </a:t>
            </a:r>
            <a:r>
              <a:rPr lang="en-gb"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oneCellAnchor>
  <xdr:twoCellAnchor>
    <xdr:from>
      <xdr:col>0</xdr:col>
      <xdr:colOff>342900</xdr:colOff>
      <xdr:row>0</xdr:row>
      <xdr:rowOff>352425</xdr:rowOff>
    </xdr:from>
    <xdr:to>
      <xdr:col>1</xdr:col>
      <xdr:colOff>5229225</xdr:colOff>
      <xdr:row>17</xdr:row>
      <xdr:rowOff>19050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55005" cy="368236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257800" cy="590396"/>
            <a:chOff x="600549" y="7810500"/>
            <a:chExt cx="4996163"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579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Take a look at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DD/MM/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238751" cy="615257"/>
            <a:chOff x="609600" y="7810500"/>
            <a:chExt cx="4986764" cy="596207"/>
          </a:xfrm>
        </xdr:grpSpPr>
        <xdr:sp macro="" textlink="">
          <xdr:nvSpPr>
            <xdr:cNvPr id="115" name="txt_Step" descr="Subtract Dates – Enter your next birthday in DD/MM/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57906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lang="en-gb"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DD/MM/YY format in cell D7, and watch Excel tell you how many days away it is by using </a:t>
              </a:r>
              <a:r>
                <a:rPr lang="en-gb"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en-gb"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286373" cy="605732"/>
            <a:chOff x="627640" y="7810500"/>
            <a:chExt cx="5005840" cy="596207"/>
          </a:xfrm>
        </xdr:grpSpPr>
        <xdr:sp macro="" textlink="">
          <xdr:nvSpPr>
            <xdr:cNvPr id="118" name="txt_Step" descr="Add Dates – Let’s say you want to know which date a bill is due on,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616185"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which date a bill is due on, or when you need to return a library book. You can add days to a date to find out. In cell D10, enter a random number of days. In cell D11, we added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clientData/>
  </xdr:twoCellAnchor>
  <xdr:twoCellAnchor>
    <xdr:from>
      <xdr:col>0</xdr:col>
      <xdr:colOff>342900</xdr:colOff>
      <xdr:row>17</xdr:row>
      <xdr:rowOff>104775</xdr:rowOff>
    </xdr:from>
    <xdr:to>
      <xdr:col>1</xdr:col>
      <xdr:colOff>5229225</xdr:colOff>
      <xdr:row>60</xdr:row>
      <xdr:rowOff>48717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20515"/>
          <a:ext cx="5755005" cy="784588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t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subtracts the time they took for lunch. The *24 at the end of the formula converts the fractional portion of the day that Excel sees into hours. You’ll need to format the cell as a Number though. To do that, go 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Take the Time Out and subtract it from the Time In, then subtract the Lunch Out/In Times, then multiply those by 24 to convert Excel’s fractional time to hours”,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gb"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grpSp>
    <xdr:clientData/>
  </xdr:twoCellAnchor>
  <xdr:absoluteAnchor>
    <xdr:pos x="6334125" y="10346959"/>
    <xdr:ext cx="3190875" cy="1454516"/>
    <xdr:grpSp>
      <xdr:nvGrpSpPr>
        <xdr:cNvPr id="153" name="Group 152">
          <a:extLst>
            <a:ext uri="{FF2B5EF4-FFF2-40B4-BE49-F238E27FC236}">
              <a16:creationId xmlns:a16="http://schemas.microsoft.com/office/drawing/2014/main" id="{5099300F-1CF9-4951-9904-72E39FABE751}"/>
            </a:ext>
          </a:extLst>
        </xdr:cNvPr>
        <xdr:cNvGrpSpPr/>
      </xdr:nvGrpSpPr>
      <xdr:grpSpPr>
        <a:xfrm>
          <a:off x="6334125" y="10346959"/>
          <a:ext cx="3190875" cy="145451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You can use keyboard shortcuts to enter Dates and Times that won’t continuously change: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en-gb" sz="1100" b="0" i="0" kern="1200" baseline="0">
                <a:solidFill>
                  <a:schemeClr val="dk1"/>
                </a:solidFill>
                <a:effectLst/>
                <a:latin typeface="+mn-lt"/>
                <a:ea typeface="+mn-ea"/>
                <a:cs typeface="+mn-cs"/>
              </a:rPr>
              <a:t>Date – </a:t>
            </a:r>
            <a:r>
              <a:rPr lang="en-gb" sz="1100" b="1" i="0" kern="1200" baseline="0">
                <a:solidFill>
                  <a:schemeClr val="dk1"/>
                </a:solidFill>
                <a:effectLst/>
                <a:latin typeface="+mn-lt"/>
                <a:ea typeface="+mn-ea"/>
                <a:cs typeface="+mn-cs"/>
              </a:rPr>
              <a:t>Ct</a:t>
            </a:r>
            <a:r>
              <a:rPr lang="en-US" altLang="zh-CN" sz="1100" b="1" i="0" kern="1200" baseline="0">
                <a:solidFill>
                  <a:schemeClr val="dk1"/>
                </a:solidFill>
                <a:effectLst/>
                <a:latin typeface="+mn-lt"/>
                <a:ea typeface="+mn-ea"/>
                <a:cs typeface="+mn-cs"/>
              </a:rPr>
              <a:t>r</a:t>
            </a:r>
            <a:r>
              <a:rPr lang="en-gb" sz="1100" b="1" i="0" kern="1200" baseline="0">
                <a:solidFill>
                  <a:schemeClr val="dk1"/>
                </a:solidFill>
                <a:effectLst/>
                <a:latin typeface="+mn-lt"/>
                <a:ea typeface="+mn-ea"/>
                <a:cs typeface="+mn-cs"/>
              </a:rPr>
              <a:t>l+;</a:t>
            </a:r>
            <a:r>
              <a:rPr lang="en-gb" sz="1100" b="0" i="0" kern="1200" baseline="0">
                <a:solidFill>
                  <a:schemeClr val="dk1"/>
                </a:solidFill>
                <a:effectLst/>
                <a:latin typeface="+mn-lt"/>
                <a:ea typeface="+mn-ea"/>
                <a:cs typeface="+mn-cs"/>
              </a:rPr>
              <a:t> </a:t>
            </a:r>
          </a:p>
          <a:p>
            <a:pPr algn="ctr" rtl="0" eaLnBrk="1" fontAlgn="auto" latinLnBrk="0" hangingPunct="1"/>
            <a:r>
              <a:rPr lang="en-gb" sz="1100" b="0" i="0" kern="1200" baseline="0">
                <a:solidFill>
                  <a:schemeClr val="dk1"/>
                </a:solidFill>
                <a:effectLst/>
                <a:latin typeface="+mn-lt"/>
                <a:ea typeface="+mn-ea"/>
                <a:cs typeface="+mn-cs"/>
              </a:rPr>
              <a:t>Time – </a:t>
            </a:r>
            <a:r>
              <a:rPr lang="en-gb"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absoluteAnchor>
  <xdr:twoCellAnchor>
    <xdr:from>
      <xdr:col>0</xdr:col>
      <xdr:colOff>342900</xdr:colOff>
      <xdr:row>60</xdr:row>
      <xdr:rowOff>142875</xdr:rowOff>
    </xdr:from>
    <xdr:to>
      <xdr:col>1</xdr:col>
      <xdr:colOff>5228463</xdr:colOff>
      <xdr:row>73</xdr:row>
      <xdr:rowOff>142875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60555"/>
          <a:ext cx="575424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63</xdr:row>
      <xdr:rowOff>188044</xdr:rowOff>
    </xdr:from>
    <xdr:to>
      <xdr:col>1</xdr:col>
      <xdr:colOff>2590800</xdr:colOff>
      <xdr:row>65</xdr:row>
      <xdr:rowOff>166123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46744"/>
          <a:ext cx="2887549" cy="35145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xdr:from>
      <xdr:col>0</xdr:col>
      <xdr:colOff>571931</xdr:colOff>
      <xdr:row>66</xdr:row>
      <xdr:rowOff>32091</xdr:rowOff>
    </xdr:from>
    <xdr:to>
      <xdr:col>1</xdr:col>
      <xdr:colOff>2619375</xdr:colOff>
      <xdr:row>68</xdr:row>
      <xdr:rowOff>15480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47051"/>
          <a:ext cx="2916124" cy="34914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xdr:from>
      <xdr:col>0</xdr:col>
      <xdr:colOff>584540</xdr:colOff>
      <xdr:row>70</xdr:row>
      <xdr:rowOff>146353</xdr:rowOff>
    </xdr:from>
    <xdr:to>
      <xdr:col>1</xdr:col>
      <xdr:colOff>2240842</xdr:colOff>
      <xdr:row>72</xdr:row>
      <xdr:rowOff>129742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892833"/>
          <a:ext cx="2524982" cy="34914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xdr:from>
      <xdr:col>0</xdr:col>
      <xdr:colOff>581456</xdr:colOff>
      <xdr:row>68</xdr:row>
      <xdr:rowOff>71948</xdr:rowOff>
    </xdr:from>
    <xdr:to>
      <xdr:col>1</xdr:col>
      <xdr:colOff>2628900</xdr:colOff>
      <xdr:row>70</xdr:row>
      <xdr:rowOff>55337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452668"/>
          <a:ext cx="2916124" cy="34914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17493" y="2048214"/>
          <a:ext cx="396150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IF D7 equals nothing, then show nothing, otherwise show D7 minus D6”.&#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rtl="0" eaLnBrk="1" fontAlgn="auto" latinLnBrk="0" hangingPunct="1"/>
            <a:r>
              <a:rPr lang="en-gb"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gb" sz="1100" b="1" i="0" kern="1200" baseline="0">
                <a:solidFill>
                  <a:schemeClr val="dk1"/>
                </a:solidFill>
                <a:effectLst/>
                <a:latin typeface="+mn-lt"/>
                <a:ea typeface="+mn-ea"/>
                <a:cs typeface="+mn-cs"/>
              </a:rPr>
              <a:t>=IF(D7="","",D7-D6)</a:t>
            </a:r>
            <a:r>
              <a:rPr lang="en-gb"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74895"/>
          <a:ext cx="575500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Serial date in this case. We need to explicitl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Serial date in this case. We need to explicitly tell Excel how to format the number portion of the formula, so it displays the way you want in the resulting text string. You can do that with the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DD/MM/YYYY&quot;). DD/MM/YYYY is the UK format code for Day/Month/Year, like 25/09/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YYYY-MM-DD</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YYYY-MM-DD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UK format code for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Year-Month-Day</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like 2017-09-25.</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K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UK format code for Hours:Minutes AM or PM</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21742" y="8223885"/>
          <a:ext cx="355875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don’t know which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n-gb" sz="1100" kern="0">
                <a:solidFill>
                  <a:schemeClr val="bg2">
                    <a:lumMod val="25000"/>
                  </a:schemeClr>
                </a:solidFill>
                <a:ea typeface="Segoe UI" pitchFamily="34" charset="0"/>
                <a:cs typeface="Segoe UI Light" panose="020B0502040204020203" pitchFamily="34" charset="0"/>
              </a:rPr>
              <a:t>If you don’t don’t know which format code to use, you can use </a:t>
            </a:r>
            <a:r>
              <a:rPr lang="en-gb" sz="1100" b="1" kern="0">
                <a:solidFill>
                  <a:schemeClr val="bg2">
                    <a:lumMod val="25000"/>
                  </a:schemeClr>
                </a:solidFill>
                <a:ea typeface="Segoe UI" pitchFamily="34" charset="0"/>
                <a:cs typeface="Segoe UI Light" panose="020B0502040204020203" pitchFamily="34" charset="0"/>
              </a:rPr>
              <a:t>Ctrl+1</a:t>
            </a:r>
            <a:r>
              <a:rPr lang="en-gb" sz="1100" kern="0">
                <a:solidFill>
                  <a:schemeClr val="bg2">
                    <a:lumMod val="25000"/>
                  </a:schemeClr>
                </a:solidFill>
                <a:ea typeface="Segoe UI" pitchFamily="34" charset="0"/>
                <a:cs typeface="Segoe UI Light" panose="020B0502040204020203" pitchFamily="34" charset="0"/>
              </a:rPr>
              <a:t> &gt; </a:t>
            </a:r>
            <a:r>
              <a:rPr lang="en-gb" sz="1100" b="1" kern="0">
                <a:solidFill>
                  <a:schemeClr val="bg2">
                    <a:lumMod val="25000"/>
                  </a:schemeClr>
                </a:solidFill>
                <a:ea typeface="Segoe UI" pitchFamily="34" charset="0"/>
                <a:cs typeface="Segoe UI Light" panose="020B0502040204020203" pitchFamily="34" charset="0"/>
              </a:rPr>
              <a:t>Number</a:t>
            </a:r>
            <a:r>
              <a:rPr lang="en-gb"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gb" sz="1100" b="1" kern="0">
                <a:solidFill>
                  <a:schemeClr val="bg2">
                    <a:lumMod val="25000"/>
                  </a:schemeClr>
                </a:solidFill>
                <a:ea typeface="Segoe UI" pitchFamily="34" charset="0"/>
                <a:cs typeface="Segoe UI Light" panose="020B0502040204020203" pitchFamily="34" charset="0"/>
              </a:rPr>
              <a:t>Custom</a:t>
            </a:r>
            <a:r>
              <a:rPr lang="en-gb" sz="1100" b="0" kern="0">
                <a:solidFill>
                  <a:schemeClr val="bg2">
                    <a:lumMod val="25000"/>
                  </a:schemeClr>
                </a:solidFill>
                <a:ea typeface="Segoe UI" pitchFamily="34" charset="0"/>
                <a:cs typeface="Segoe UI Light" panose="020B0502040204020203" pitchFamily="34" charset="0"/>
              </a:rPr>
              <a:t> option</a:t>
            </a:r>
            <a:r>
              <a:rPr lang="en-gb"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30211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5093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3790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3021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55005" cy="443484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names and surnames, and want to combine them as first name, sur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names and surnames, and want to combine them as first name, surname or full name. Fortunately, Excel lets us do that with the Ampersand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surnames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surnames and first names.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name and sur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name and surname, but use a space without a comma. In F3,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TAKE A LOOK AT THIS" descr="TAKE A LOOK AT THIS&#10;&#10;">
          <a:extLst>
            <a:ext uri="{FF2B5EF4-FFF2-40B4-BE49-F238E27FC236}">
              <a16:creationId xmlns:a16="http://schemas.microsoft.com/office/drawing/2014/main" id="{EFD4E48E-5D2B-4B5E-9DBB-99430A62BD96}"/>
            </a:ext>
          </a:extLst>
        </xdr:cNvPr>
        <xdr:cNvGrpSpPr/>
      </xdr:nvGrpSpPr>
      <xdr:grpSpPr>
        <a:xfrm>
          <a:off x="8702040" y="6703695"/>
          <a:ext cx="328802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TAKE A LOOK AT THIS&#10;Formulas, especially big ones, can sometimes be hard to read, but you can break up their parts with spaces like this:&#10;&#10;=C28 &amp; &quot; &quot; &amp; TEXT(D28,&quot;DD/MM/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TAKE A LOOK AT THIS</a:t>
            </a: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Formulas,</a:t>
            </a:r>
            <a:r>
              <a:rPr lang="en-gb"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en-gb" sz="1100" b="1">
                <a:solidFill>
                  <a:schemeClr val="bg2">
                    <a:lumMod val="25000"/>
                  </a:schemeClr>
                </a:solidFill>
                <a:latin typeface="+mn-lt"/>
                <a:ea typeface="Segoe UI" pitchFamily="34" charset="0"/>
                <a:cs typeface="Segoe UI Light" panose="020B0502040204020203" pitchFamily="34" charset="0"/>
              </a:rPr>
              <a:t>=C28 &amp; " " &amp; TEXT(D28,"</a:t>
            </a:r>
            <a:r>
              <a:rPr lang="en-GB" sz="1100" b="1">
                <a:solidFill>
                  <a:schemeClr val="bg2">
                    <a:lumMod val="25000"/>
                  </a:schemeClr>
                </a:solidFill>
                <a:latin typeface="+mn-lt"/>
                <a:ea typeface="Segoe UI" pitchFamily="34" charset="0"/>
                <a:cs typeface="Segoe UI Light" panose="020B0502040204020203" pitchFamily="34" charset="0"/>
              </a:rPr>
              <a:t>YYYY-MM-DD</a:t>
            </a:r>
            <a:r>
              <a:rPr lang="en-gb"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55005" cy="445041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172075" cy="596207"/>
            <a:chOff x="694767" y="7810500"/>
            <a:chExt cx="5138520" cy="596207"/>
          </a:xfrm>
        </xdr:grpSpPr>
        <xdr:sp macro="" textlink="">
          <xdr:nvSpPr>
            <xdr:cNvPr id="88" name="txt_Step" descr="Try another example by looking at the formula in cell D12. We’ve got you started with =IF(C12&lt;100,&quot;Less than 100&quot;,&quot;Greater than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3" y="7852458"/>
              <a:ext cx="473082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We’ve got you started with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100 in cell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5518"/>
          <a:ext cx="3734723" cy="135457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se them. Numbers don’t need to be in quotes either. Regular text, such as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1" i="0" kern="1200" baseline="0">
                <a:solidFill>
                  <a:schemeClr val="dk1"/>
                </a:solidFill>
                <a:effectLst/>
                <a:latin typeface="+mn-lt"/>
                <a:ea typeface="+mn-ea"/>
                <a:cs typeface="+mn-cs"/>
              </a:rPr>
              <a:t>TRUE</a:t>
            </a:r>
            <a:r>
              <a:rPr lang="en-gb" sz="1100" b="0" i="0" kern="1200" baseline="0">
                <a:solidFill>
                  <a:schemeClr val="dk1"/>
                </a:solidFill>
                <a:effectLst/>
                <a:latin typeface="+mn-lt"/>
                <a:ea typeface="+mn-ea"/>
                <a:cs typeface="+mn-cs"/>
              </a:rPr>
              <a:t> and </a:t>
            </a:r>
            <a:r>
              <a:rPr lang="en-gb" sz="1100" b="1" i="0" kern="1200" baseline="0">
                <a:solidFill>
                  <a:schemeClr val="dk1"/>
                </a:solidFill>
                <a:effectLst/>
                <a:latin typeface="+mn-lt"/>
                <a:ea typeface="+mn-ea"/>
                <a:cs typeface="+mn-cs"/>
              </a:rPr>
              <a:t>FALSE</a:t>
            </a:r>
            <a:r>
              <a:rPr lang="en-gb" sz="1100" b="0" i="0" kern="1200" baseline="0">
                <a:solidFill>
                  <a:schemeClr val="dk1"/>
                </a:solidFill>
                <a:effectLst/>
                <a:latin typeface="+mn-lt"/>
                <a:ea typeface="+mn-ea"/>
                <a:cs typeface="+mn-cs"/>
              </a:rPr>
              <a:t> are unlike other words in Excel formulas in that they don’t need to be in quotes, and Excel will automatically capitalise them. Numbers don’t need to be in quotes either. Regular text, such as </a:t>
            </a:r>
            <a:r>
              <a:rPr lang="en-gb" sz="1100" b="1" i="0" kern="1200" baseline="0">
                <a:solidFill>
                  <a:schemeClr val="dk1"/>
                </a:solidFill>
                <a:effectLst/>
                <a:latin typeface="+mn-lt"/>
                <a:ea typeface="+mn-ea"/>
                <a:cs typeface="+mn-cs"/>
              </a:rPr>
              <a:t>Yes</a:t>
            </a:r>
            <a:r>
              <a:rPr lang="en-gb" sz="1100" b="0" i="0" kern="1200" baseline="0">
                <a:solidFill>
                  <a:schemeClr val="dk1"/>
                </a:solidFill>
                <a:effectLst/>
                <a:latin typeface="+mn-lt"/>
                <a:ea typeface="+mn-ea"/>
                <a:cs typeface="+mn-cs"/>
              </a:rPr>
              <a:t> or </a:t>
            </a:r>
            <a:r>
              <a:rPr lang="en-gb" sz="1100" b="1" i="0" kern="1200" baseline="0">
                <a:solidFill>
                  <a:schemeClr val="dk1"/>
                </a:solidFill>
                <a:effectLst/>
                <a:latin typeface="+mn-lt"/>
                <a:ea typeface="+mn-ea"/>
                <a:cs typeface="+mn-cs"/>
              </a:rPr>
              <a:t>No</a:t>
            </a:r>
            <a:r>
              <a:rPr lang="en-gb" sz="1100" b="0" i="0" kern="1200" baseline="0">
                <a:solidFill>
                  <a:schemeClr val="dk1"/>
                </a:solidFill>
                <a:effectLst/>
                <a:latin typeface="+mn-lt"/>
                <a:ea typeface="+mn-ea"/>
                <a:cs typeface="+mn-cs"/>
              </a:rPr>
              <a:t>, does need to be in quotes like this: </a:t>
            </a:r>
          </a:p>
          <a:p>
            <a:pPr rtl="0" eaLnBrk="1" fontAlgn="auto" latinLnBrk="0" hangingPunct="1"/>
            <a:r>
              <a:rPr lang="en-gb"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5555" y="8338185"/>
          <a:ext cx="3771900" cy="91582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 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n-gb" sz="1100" b="1" i="1" u="sng" kern="0">
                <a:solidFill>
                  <a:schemeClr val="accent1"/>
                </a:solidFill>
                <a:ea typeface="Segoe UI" pitchFamily="34" charset="0"/>
                <a:cs typeface="Segoe UI Light" panose="020B0502040204020203" pitchFamily="34" charset="0"/>
              </a:rPr>
              <a:t>Named Ranges </a:t>
            </a:r>
            <a:r>
              <a:rPr lang="en-gb"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gb"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gb" sz="1100" b="1" kern="0" baseline="0">
                <a:solidFill>
                  <a:schemeClr val="bg2">
                    <a:lumMod val="25000"/>
                  </a:schemeClr>
                </a:solidFill>
                <a:ea typeface="Segoe UI" pitchFamily="34" charset="0"/>
                <a:cs typeface="Segoe UI Light" panose="020B0502040204020203" pitchFamily="34" charset="0"/>
              </a:rPr>
              <a:t>Formulas</a:t>
            </a:r>
            <a:r>
              <a:rPr lang="en-gb" sz="1100" kern="0" baseline="0">
                <a:solidFill>
                  <a:schemeClr val="bg2">
                    <a:lumMod val="25000"/>
                  </a:schemeClr>
                </a:solidFill>
                <a:ea typeface="Segoe UI" pitchFamily="34" charset="0"/>
                <a:cs typeface="Segoe UI Light" panose="020B0502040204020203" pitchFamily="34" charset="0"/>
              </a:rPr>
              <a:t> &gt; </a:t>
            </a:r>
            <a:r>
              <a:rPr lang="en-gb" sz="1100" b="1" kern="0" baseline="0">
                <a:solidFill>
                  <a:schemeClr val="bg2">
                    <a:lumMod val="25000"/>
                  </a:schemeClr>
                </a:solidFill>
                <a:ea typeface="Segoe UI" pitchFamily="34" charset="0"/>
                <a:cs typeface="Segoe UI Light" panose="020B0502040204020203" pitchFamily="34" charset="0"/>
              </a:rPr>
              <a:t>Name Manager.</a:t>
            </a:r>
            <a:r>
              <a:rPr lang="en-gb"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793731" y="6452899"/>
          <a:ext cx="3476623" cy="1656235"/>
          <a:chOff x="6778625" y="15619705"/>
          <a:chExt cx="3174461" cy="1671345"/>
        </a:xfrm>
      </xdr:grpSpPr>
      <xdr:sp macro="" textlink="">
        <xdr:nvSpPr>
          <xdr:cNvPr id="98" name="Step" descr="GOOD TO KNOW&#10;When you create a formula, Excel will automatically place coloured borders around any ranges referenced in the formula, and the corresponding ranges in the formula will be the same colou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When you create a formula, Excel will automatically place coloured borders around any ranges referenced in the formula, and the corresponding ranges in the formula will be the same colour. You can see this if you select cell F33 and press </a:t>
            </a:r>
            <a:r>
              <a:rPr lang="en-gb" sz="1100" b="1" i="0" kern="1200" baseline="0">
                <a:solidFill>
                  <a:schemeClr val="dk1"/>
                </a:solidFill>
                <a:effectLst/>
                <a:latin typeface="+mn-lt"/>
                <a:ea typeface="+mn-ea"/>
                <a:cs typeface="+mn-cs"/>
              </a:rPr>
              <a:t>F2</a:t>
            </a:r>
            <a:r>
              <a:rPr lang="en-gb"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190499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886324"/>
          <a:ext cx="5755005" cy="552259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VAT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VAT should be charged, and calculate it if the condition is true.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VAT,0), where we’ve set up VAT as a Named Range with a value of 0.0825. Our formula says If cell E33 equals Yes, then multiply cell F31 by VAT,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=IF(E33="Yes",F31*VAT,0)</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we’ve set up VAT as a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by VAT, otherwise return a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delivery if it’s required. In cell F35, you’ll see =IF(E35=&quot;Yes&quot;,SUM(D28:D29)*1.25,0). This says “If cell E35 is Yes, then take the sum of the Quantity column in the table above and multiply it by 1.25, otherwise return a 0”.&#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delivery if it’s required. In cell F35, you’ll see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Delivery”. As you start typing, Excel’s auto-correct, should find it for you. When it does, press Tab to enter it. This is a Named Range, and we’ve entered it from Formulas &gt; Define Name. Now, if you ever need to change your VAT charges, you only have to do it in one place, and you can use the Delivery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Delivery”.</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we’ve entered it from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VAT charges, you only have to do it in one place, and you can use the Delivery name anywhere in the workbook.</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13695"/>
          <a:ext cx="5754243" cy="229171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31304"/>
          <a:ext cx="2887549" cy="34383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2"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391130"/>
          <a:ext cx="2916124" cy="349149"/>
          <a:chOff x="562406" y="11793085"/>
          <a:chExt cx="2895169" cy="364389"/>
        </a:xfrm>
      </xdr:grpSpPr>
      <xdr:sp macro="" textlink="">
        <xdr:nvSpPr>
          <xdr:cNvPr id="124" name="Step" descr="All about the IFS function, hyperlinked to web&#10;">
            <a:hlinkClick xmlns:r="http://schemas.openxmlformats.org/officeDocument/2006/relationships" r:id="rId15"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5"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153568"/>
          <a:ext cx="2537591" cy="349149"/>
          <a:chOff x="562406" y="12586003"/>
          <a:chExt cx="2516636" cy="364389"/>
        </a:xfrm>
      </xdr:grpSpPr>
      <xdr:sp macro="" textlink="">
        <xdr:nvSpPr>
          <xdr:cNvPr id="126" name="Step" descr="Free Excel training online, hyperlinked to web&#10;">
            <a:hlinkClick xmlns:r="http://schemas.openxmlformats.org/officeDocument/2006/relationships" r:id="rId16" tooltip="Select to attend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6"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756266"/>
          <a:ext cx="2916124" cy="349149"/>
          <a:chOff x="562406" y="12173461"/>
          <a:chExt cx="2895169" cy="364389"/>
        </a:xfrm>
      </xdr:grpSpPr>
      <xdr:sp macro="" textlink="">
        <xdr:nvSpPr>
          <xdr:cNvPr id="128" name="Step" descr="Advanced IF statements, hyperlinked to web&#10;">
            <a:hlinkClick xmlns:r="http://schemas.openxmlformats.org/officeDocument/2006/relationships" r:id="rId17"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7"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u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favourites too!). VLOOKUP lets you look up a value in a column on the left, then returns information in another column to the right if it finds a match. VLOOKUP says: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5058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5058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5424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8754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9712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gb"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3759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1612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97148" cy="364389"/>
          <a:chOff x="562406" y="13664799"/>
          <a:chExt cx="3476193" cy="364389"/>
        </a:xfrm>
      </xdr:grpSpPr>
      <xdr:sp macro="" textlink="">
        <xdr:nvSpPr>
          <xdr:cNvPr id="106" name="Step" descr="Use PivotTables to analyse worksheet data&#10;">
            <a:hlinkClick xmlns:r="http://schemas.openxmlformats.org/officeDocument/2006/relationships" r:id="rId8" tooltip="Select to learn all about creating a PivotTable to analys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analyse</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xdr:from>
      <xdr:col>1</xdr:col>
      <xdr:colOff>5470014</xdr:colOff>
      <xdr:row>22</xdr:row>
      <xdr:rowOff>40290</xdr:rowOff>
    </xdr:from>
    <xdr:to>
      <xdr:col>6</xdr:col>
      <xdr:colOff>774188</xdr:colOff>
      <xdr:row>28</xdr:row>
      <xdr:rowOff>122966</xdr:rowOff>
    </xdr:to>
    <xdr:grpSp>
      <xdr:nvGrpSpPr>
        <xdr:cNvPr id="108" name="Group 107">
          <a:extLst>
            <a:ext uri="{FF2B5EF4-FFF2-40B4-BE49-F238E27FC236}">
              <a16:creationId xmlns:a16="http://schemas.microsoft.com/office/drawing/2014/main" id="{03EFBC7C-34AE-450B-A955-411C63A44A84}"/>
            </a:ext>
          </a:extLst>
        </xdr:cNvPr>
        <xdr:cNvGrpSpPr/>
      </xdr:nvGrpSpPr>
      <xdr:grpSpPr>
        <a:xfrm>
          <a:off x="6338694" y="4802790"/>
          <a:ext cx="3891914" cy="1225676"/>
          <a:chOff x="6315744" y="2116740"/>
          <a:chExt cx="3297913" cy="1225676"/>
        </a:xfrm>
      </xdr:grpSpPr>
      <xdr:sp macro="" textlink="">
        <xdr:nvSpPr>
          <xdr:cNvPr id="109" name="Step" descr="EXPERIMENT&#10;Try selecting different items from the drop-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Try selecting</a:t>
            </a:r>
            <a:r>
              <a:rPr lang="en-gb" sz="1100" kern="0" baseline="0">
                <a:solidFill>
                  <a:schemeClr val="bg2">
                    <a:lumMod val="25000"/>
                  </a:schemeClr>
                </a:solidFill>
                <a:latin typeface="+mn-lt"/>
                <a:ea typeface="Segoe UI" pitchFamily="34" charset="0"/>
                <a:cs typeface="Segoe UI Light" panose="020B0502040204020203" pitchFamily="34" charset="0"/>
              </a:rPr>
              <a:t> different items from the drop-down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grpSp>
        <xdr:nvGrpSpPr>
          <xdr:cNvPr id="110" name="Group 109">
            <a:extLst>
              <a:ext uri="{FF2B5EF4-FFF2-40B4-BE49-F238E27FC236}">
                <a16:creationId xmlns:a16="http://schemas.microsoft.com/office/drawing/2014/main" id="{9133DD34-EC9C-4E5E-9701-31CBF2341050}"/>
              </a:ext>
            </a:extLst>
          </xdr:cNvPr>
          <xdr:cNvGrpSpPr/>
        </xdr:nvGrpSpPr>
        <xdr:grpSpPr>
          <a:xfrm>
            <a:off x="6315744" y="2116740"/>
            <a:ext cx="873764" cy="377476"/>
            <a:chOff x="6388583" y="2189579"/>
            <a:chExt cx="873764" cy="377476"/>
          </a:xfrm>
        </xdr:grpSpPr>
        <xdr:sp macro="" textlink="">
          <xdr:nvSpPr>
            <xdr:cNvPr id="112" name="Freeform: Shape 111" descr="Bracket line">
              <a:extLst>
                <a:ext uri="{FF2B5EF4-FFF2-40B4-BE49-F238E27FC236}">
                  <a16:creationId xmlns:a16="http://schemas.microsoft.com/office/drawing/2014/main" id="{B89FDF95-E971-450E-B68A-844FC0FEB63A}"/>
                </a:ext>
              </a:extLst>
            </xdr:cNvPr>
            <xdr:cNvSpPr/>
          </xdr:nvSpPr>
          <xdr:spPr>
            <a:xfrm rot="5400000">
              <a:off x="6989563" y="2111841"/>
              <a:ext cx="165098" cy="38047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3" name="Freeform: Shape 112" descr="Bracket line">
              <a:extLst>
                <a:ext uri="{FF2B5EF4-FFF2-40B4-BE49-F238E27FC236}">
                  <a16:creationId xmlns:a16="http://schemas.microsoft.com/office/drawing/2014/main" id="{6D94CD03-8DC7-4C12-B3AD-E8B0E09E2EF4}"/>
                </a:ext>
              </a:extLst>
            </xdr:cNvPr>
            <xdr:cNvSpPr/>
          </xdr:nvSpPr>
          <xdr:spPr>
            <a:xfrm rot="16200000" flipH="1">
              <a:off x="6495409" y="2082753"/>
              <a:ext cx="167085" cy="38073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4" name="Arc 113">
              <a:extLst>
                <a:ext uri="{FF2B5EF4-FFF2-40B4-BE49-F238E27FC236}">
                  <a16:creationId xmlns:a16="http://schemas.microsoft.com/office/drawing/2014/main" id="{FA556032-2890-4698-8BCA-5F6841D85837}"/>
                </a:ext>
              </a:extLst>
            </xdr:cNvPr>
            <xdr:cNvSpPr/>
          </xdr:nvSpPr>
          <xdr:spPr>
            <a:xfrm>
              <a:off x="6686535" y="2359878"/>
              <a:ext cx="15083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5" name="Arc 114">
              <a:extLst>
                <a:ext uri="{FF2B5EF4-FFF2-40B4-BE49-F238E27FC236}">
                  <a16:creationId xmlns:a16="http://schemas.microsoft.com/office/drawing/2014/main" id="{9D24D9D4-ABC6-4659-89BD-7B032B0C264F}"/>
                </a:ext>
              </a:extLst>
            </xdr:cNvPr>
            <xdr:cNvSpPr/>
          </xdr:nvSpPr>
          <xdr:spPr>
            <a:xfrm flipH="1">
              <a:off x="6844223" y="2370187"/>
              <a:ext cx="137120" cy="182150"/>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70551" y="2499089"/>
            <a:ext cx="331088" cy="368300"/>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11"/>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5500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that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 aren’t sure your lookup value exists, but you still want to suppress the #N/A error, you can use an error handling function called IFERROR in cell G43: =IFERROR(VLOOKUP(F43,F37:G41,2,FALSE),&quot;&quot;). IFERROR says that if the VLOOKUP returns a valid result, then display that, otherwise, display nothing (&quot;&quot;). We displayed nothing here (&quot;&quot;), but you can also use numbers (0,1, 2 etc.), or text, such as “Formula isn’t correc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aren’t sure your lookup value exists, but you still want to suppress the #N/A error, you can use an error handling function called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2"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896226" y="8839208"/>
          <a:ext cx="397954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1" i="0" kern="1200" baseline="0">
                <a:solidFill>
                  <a:schemeClr val="dk1"/>
                </a:solidFill>
                <a:effectLst/>
                <a:latin typeface="+mn-lt"/>
                <a:ea typeface="+mn-ea"/>
                <a:cs typeface="+mn-cs"/>
              </a:rPr>
              <a:t>IFERROR</a:t>
            </a:r>
            <a:r>
              <a:rPr lang="en-gb"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en-gb"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869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ve finished,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 to 50&#10;">
          <a:extLst>
            <a:ext uri="{FF2B5EF4-FFF2-40B4-BE49-F238E27FC236}">
              <a16:creationId xmlns:a16="http://schemas.microsoft.com/office/drawing/2014/main" id="{22FED87C-334E-45C5-A4CC-FBD0B802BEDC}"/>
            </a:ext>
          </a:extLst>
        </xdr:cNvPr>
        <xdr:cNvGrpSpPr/>
      </xdr:nvGrpSpPr>
      <xdr:grpSpPr>
        <a:xfrm>
          <a:off x="19448145" y="14622780"/>
          <a:ext cx="3400425" cy="178073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 to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gb" sz="1100" b="0" i="1" kern="1200" baseline="0">
                <a:solidFill>
                  <a:schemeClr val="dk1"/>
                </a:solidFill>
                <a:effectLst/>
                <a:latin typeface="+mn-lt"/>
                <a:ea typeface="+mn-ea"/>
                <a:cs typeface="+mn-cs"/>
              </a:rPr>
              <a:t>less than or equal to 50</a:t>
            </a:r>
            <a:r>
              <a:rPr lang="en-gb" sz="1100" b="0" i="0" kern="1200" baseline="0">
                <a:solidFill>
                  <a:schemeClr val="dk1"/>
                </a:solidFill>
                <a:effectLst/>
                <a:latin typeface="+mn-lt"/>
                <a:ea typeface="+mn-ea"/>
                <a:cs typeface="+mn-cs"/>
              </a:rPr>
              <a:t>. And there’s "&lt;&gt;50" which is </a:t>
            </a:r>
            <a:r>
              <a:rPr lang="en-gb" sz="1100" b="0" i="1" kern="1200" baseline="0">
                <a:solidFill>
                  <a:schemeClr val="dk1"/>
                </a:solidFill>
                <a:effectLst/>
                <a:latin typeface="+mn-lt"/>
                <a:ea typeface="+mn-ea"/>
                <a:cs typeface="+mn-cs"/>
              </a:rPr>
              <a:t>not equal to 50</a:t>
            </a:r>
            <a:r>
              <a:rPr lang="en-gb"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4984076"/>
          <a:ext cx="5745480" cy="37707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gb"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50581" cy="596207"/>
          <a:chOff x="619125" y="1771650"/>
          <a:chExt cx="5220101" cy="596207"/>
        </a:xfrm>
      </xdr:grpSpPr>
      <xdr:sp macro="" textlink="">
        <xdr:nvSpPr>
          <xdr:cNvPr id="174" name="txt_Step" descr="SUMIF lets you sum in one range based on a specifi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specific criteria you look for in another range, like how many Apples you have. Select cell D17 and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652334</xdr:colOff>
      <xdr:row>148</xdr:row>
      <xdr:rowOff>30126</xdr:rowOff>
    </xdr:from>
    <xdr:to>
      <xdr:col>1</xdr:col>
      <xdr:colOff>2562832</xdr:colOff>
      <xdr:row>151</xdr:row>
      <xdr:rowOff>5289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652334" y="2887182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3875333</xdr:colOff>
      <xdr:row>149</xdr:row>
      <xdr:rowOff>31830</xdr:rowOff>
    </xdr:from>
    <xdr:to>
      <xdr:col>1</xdr:col>
      <xdr:colOff>5027208</xdr:colOff>
      <xdr:row>151</xdr:row>
      <xdr:rowOff>7937</xdr:rowOff>
    </xdr:to>
    <xdr:sp macro="" textlink="">
      <xdr:nvSpPr>
        <xdr:cNvPr id="178" name="Next Button" descr="Next step button, hyperlinked to next worksheet">
          <a:hlinkClick xmlns:r="http://schemas.openxmlformats.org/officeDocument/2006/relationships" r:id="rId3" tooltip="Click here to advance to the next worksheet"/>
          <a:extLst>
            <a:ext uri="{FF2B5EF4-FFF2-40B4-BE49-F238E27FC236}">
              <a16:creationId xmlns:a16="http://schemas.microsoft.com/office/drawing/2014/main" id="{21885DC0-F099-46D4-A1CF-17E11C390036}"/>
            </a:ext>
          </a:extLst>
        </xdr:cNvPr>
        <xdr:cNvSpPr/>
      </xdr:nvSpPr>
      <xdr:spPr>
        <a:xfrm>
          <a:off x="4723058" y="290640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 step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188004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134</xdr:row>
      <xdr:rowOff>186409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188004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134</xdr:row>
      <xdr:rowOff>186409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gb"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5058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114300</xdr:rowOff>
    </xdr:from>
    <xdr:to>
      <xdr:col>1</xdr:col>
      <xdr:colOff>5238749</xdr:colOff>
      <xdr:row>130</xdr:row>
      <xdr:rowOff>129737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 or “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1381720"/>
          <a:ext cx="5745480" cy="3520637"/>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gb"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gb"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gb"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gb"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gb"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gb"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gb"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gb"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577998"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effectLst/>
                <a:latin typeface="Courier New" panose="02070309020205020404" pitchFamily="49" charset="0"/>
                <a:ea typeface="Times New Roman" panose="02020603050405020304" pitchFamily="18" charset="0"/>
                <a:cs typeface="Courier New" panose="02070309020205020404" pitchFamily="49" charset="0"/>
              </a:rPr>
              <a:t>=</a:t>
            </a:r>
            <a:r>
              <a:rPr lang="en-gb"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gb"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69331" y="3964967"/>
          <a:ext cx="426853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n-gb"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10</xdr:row>
      <xdr:rowOff>114300</xdr:rowOff>
    </xdr:from>
    <xdr:to>
      <xdr:col>1</xdr:col>
      <xdr:colOff>4419599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19574" cy="1924050"/>
          <a:chOff x="3048000" y="4524375"/>
          <a:chExt cx="421957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FormulaCalloutUpper" descr="Which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Which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14525" cy="861227"/>
            <a:chOff x="5353049" y="4524375"/>
            <a:chExt cx="191452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FormulaCalloutUpper" descr="For each match found, which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1452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For each match found, which range do you want to sum in?</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59755" cy="26670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ich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Which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855440"/>
          <a:ext cx="5755005" cy="44579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on you specify. They’re a bit different from the other IF and IFS functions, in that they only have a criteria range and criteria. They don’t evaluate one range then look in another to summaris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kern="1200">
              <a:solidFill>
                <a:schemeClr val="dk1"/>
              </a:solidFill>
              <a:latin typeface="Segoe UI" panose="020B0502040204020203" pitchFamily="34" charset="0"/>
              <a:ea typeface="+mn-ea"/>
              <a:cs typeface="Segoe UI" panose="020B0502040204020203" pitchFamily="34" charset="0"/>
            </a:rPr>
            <a:t>COUNTIF</a:t>
          </a:r>
          <a:r>
            <a:rPr lang="en-gb" sz="1100" kern="1200">
              <a:solidFill>
                <a:schemeClr val="dk1"/>
              </a:solidFill>
              <a:latin typeface="Segoe UI" panose="020B0502040204020203" pitchFamily="34" charset="0"/>
              <a:ea typeface="+mn-ea"/>
              <a:cs typeface="Segoe UI" panose="020B0502040204020203" pitchFamily="34" charset="0"/>
            </a:rPr>
            <a:t> and</a:t>
          </a:r>
          <a:r>
            <a:rPr lang="en-gb" sz="1100" kern="1200" baseline="0">
              <a:solidFill>
                <a:schemeClr val="dk1"/>
              </a:solidFill>
              <a:latin typeface="Segoe UI" panose="020B0502040204020203" pitchFamily="34" charset="0"/>
              <a:ea typeface="+mn-ea"/>
              <a:cs typeface="Segoe UI" panose="020B0502040204020203" pitchFamily="34" charset="0"/>
            </a:rPr>
            <a:t> </a:t>
          </a:r>
          <a:r>
            <a:rPr lang="en-gb" sz="1100" b="1" kern="1200" baseline="0">
              <a:solidFill>
                <a:schemeClr val="dk1"/>
              </a:solidFill>
              <a:latin typeface="Segoe UI" panose="020B0502040204020203" pitchFamily="34" charset="0"/>
              <a:ea typeface="+mn-ea"/>
              <a:cs typeface="Segoe UI" panose="020B0502040204020203" pitchFamily="34" charset="0"/>
            </a:rPr>
            <a:t>COUNTIFS</a:t>
          </a:r>
          <a:r>
            <a:rPr lang="en-gb"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criterion you specify. They’re </a:t>
          </a:r>
          <a:r>
            <a:rPr lang="en-gb" sz="1100" kern="1200">
              <a:solidFill>
                <a:schemeClr val="dk1"/>
              </a:solidFill>
              <a:latin typeface="Segoe UI" panose="020B0502040204020203" pitchFamily="34" charset="0"/>
              <a:ea typeface="+mn-ea"/>
              <a:cs typeface="Segoe UI" panose="020B0502040204020203" pitchFamily="34" charset="0"/>
            </a:rPr>
            <a:t>a bit different</a:t>
          </a:r>
          <a:r>
            <a:rPr lang="en-gb"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evaluate one range then look in another to summarise.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83240"/>
          <a:ext cx="5241056" cy="57334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86385"/>
          <a:ext cx="5241056" cy="57334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17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9180" y="11029950"/>
          <a:ext cx="3971925" cy="187833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FormulaCalloutUpper" descr="Which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Which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00767"/>
          <a:ext cx="5420453" cy="18594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n-gb"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en-gb"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en-gb"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gb"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n-gb" sz="1200">
              <a:solidFill>
                <a:srgbClr val="0B744D"/>
              </a:solidFill>
              <a:latin typeface="Segoe UI" pitchFamily="34" charset="0"/>
              <a:ea typeface="Segoe UI" pitchFamily="34" charset="0"/>
              <a:cs typeface="Segoe UI" pitchFamily="34" charset="0"/>
            </a:rPr>
            <a:t>Dive down for more detail</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TAKE A LOOK AT THIS" descr="TAKE A LOOK AT THIS&#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TAKE A LOOK AT THIS&#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TAKE A LOOK AT THIS</a:t>
            </a: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You should end up with </a:t>
            </a:r>
            <a:r>
              <a:rPr lang="en-gb"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27545"/>
          <a:ext cx="5758053" cy="229171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64204"/>
          <a:ext cx="289135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24030"/>
          <a:ext cx="2919934" cy="34914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686468"/>
          <a:ext cx="2541401" cy="34914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289166"/>
          <a:ext cx="2919934" cy="34914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 aren’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 aren’t sure how to build it, you can use the Function Wizard to help you out.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4962526</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3519"/>
          <a:ext cx="5277804" cy="585412"/>
          <a:chOff x="647700" y="7419975"/>
          <a:chExt cx="5345642"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4913986"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gb" sz="11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gb" sz="11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gb" sz="11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gb" sz="11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gb" sz="1100">
                <a:latin typeface="Segoe UI" panose="020B0502040204020203" pitchFamily="34" charset="0"/>
                <a:cs typeface="Segoe UI" panose="020B0502040204020203" pitchFamily="34" charset="0"/>
              </a:rPr>
              <a:t> When you select a function in the</a:t>
            </a:r>
            <a:r>
              <a:rPr lang="en-gb" sz="1100" baseline="0">
                <a:latin typeface="Segoe UI" panose="020B0502040204020203" pitchFamily="34" charset="0"/>
                <a:cs typeface="Segoe UI" panose="020B0502040204020203" pitchFamily="34" charset="0"/>
              </a:rPr>
              <a:t> list, Excel will display its syntax.</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49844"/>
          <a:ext cx="5220652" cy="58096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ve finished,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you’ve finished, and Excel will enter the formula for you.</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20792</xdr:rowOff>
    </xdr:to>
    <xdr:pic>
      <xdr:nvPicPr>
        <xdr:cNvPr id="7" name="Picture 6">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95375" y="3571875"/>
          <a:ext cx="4629150" cy="2573492"/>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s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As you enter each argument’s section, the argument’s description will be displayed towards the bottom of the form, above the Formula result.</a:t>
              </a:r>
              <a:endParaRPr lang="en-US" sz="1100">
                <a:effectLst/>
                <a:latin typeface="+mn-lt"/>
              </a:endParaRPr>
            </a:p>
          </xdr:txBody>
        </xdr:sp>
        <xdr:sp macro="" textlink="">
          <xdr:nvSpPr>
            <xdr:cNvPr id="104" name="Freeform: Shape 103" descr="A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correctly, but they can be challenging to fix. Fortunately, there a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2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correctly, but they can be challenging to fix. Fortunately, there are several options that can help you track down the source of the error and fix it.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3570"/>
          <a:ext cx="5254391" cy="565727"/>
          <a:chOff x="476250" y="1924050"/>
          <a:chExt cx="5220101" cy="596207"/>
        </a:xfrm>
      </xdr:grpSpPr>
      <xdr:sp macro="" textlink="">
        <xdr:nvSpPr>
          <xdr:cNvPr id="55" name="txt_Step" descr="Error checking – Go to Formulas &gt; Error checking. This will load a dialogue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lang="en-gb"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lang="en-gb"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n-gb"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lang="en-gb"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dialogue that will tell you the general cause for your specific error. In cell D9, the </a:t>
            </a:r>
            <a:r>
              <a:rPr lang="en-gb"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lang="en-gb"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lang="en-gb"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en-gb"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5363"/>
          <a:ext cx="5254391" cy="573347"/>
          <a:chOff x="476250" y="4957763"/>
          <a:chExt cx="5220101" cy="596207"/>
        </a:xfrm>
      </xdr:grpSpPr>
      <xdr:sp macro="" textlink="">
        <xdr:nvSpPr>
          <xdr:cNvPr id="59" name="txt_Step" descr="If you click Help on this Error, a help topic specific to the error message will open. If you click Show Calculation Steps, an evaluate formula dialogue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dialogue will load.</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75295"/>
          <a:ext cx="5254391" cy="573347"/>
          <a:chOff x="476250" y="8372475"/>
          <a:chExt cx="5220101" cy="596207"/>
        </a:xfrm>
      </xdr:grpSpPr>
      <xdr:sp macro="" textlink="">
        <xdr:nvSpPr>
          <xdr:cNvPr id="63" name="txt_Step" descr="Each time you click Evaluate, Excel will step through the formula one section at a time. It won’t necessarily tell you why an error has occurred,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lang="en-gb"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lang="en-gb"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has occurred, but it will point out where. From there, look at the help topic to deduce what went wrong with your formula.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n-gb"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n-gb"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8257" cy="111356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n-gb" sz="1100" kern="0">
                <a:solidFill>
                  <a:schemeClr val="bg2">
                    <a:lumMod val="25000"/>
                  </a:schemeClr>
                </a:solidFill>
                <a:latin typeface="+mn-lt"/>
                <a:ea typeface="Segoe UI" pitchFamily="34" charset="0"/>
                <a:cs typeface="Segoe UI Light" panose="020B0502040204020203" pitchFamily="34" charset="0"/>
              </a:rPr>
              <a:t>What’s</a:t>
            </a:r>
            <a:r>
              <a:rPr lang="en-gb"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gb" sz="1100" b="1" kern="0" baseline="0">
                <a:solidFill>
                  <a:schemeClr val="bg2">
                    <a:lumMod val="25000"/>
                  </a:schemeClr>
                </a:solidFill>
                <a:latin typeface="+mn-lt"/>
                <a:ea typeface="Segoe UI" pitchFamily="34" charset="0"/>
                <a:cs typeface="Segoe UI Light" panose="020B0502040204020203" pitchFamily="34" charset="0"/>
              </a:rPr>
              <a:t>SUM</a:t>
            </a:r>
            <a:r>
              <a:rPr lang="en-gb"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3685" y="4757457"/>
          <a:ext cx="2562225" cy="8051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gb" sz="1100" b="0" i="0" kern="1200" baseline="0">
                <a:solidFill>
                  <a:schemeClr val="dk1"/>
                </a:solidFill>
                <a:effectLst/>
                <a:latin typeface="+mn-lt"/>
                <a:ea typeface="+mn-ea"/>
                <a:cs typeface="+mn-cs"/>
              </a:rPr>
              <a:t>Clicking </a:t>
            </a:r>
            <a:r>
              <a:rPr lang="en-gb" sz="1100" b="1" i="0" kern="1200" baseline="0">
                <a:solidFill>
                  <a:schemeClr val="dk1"/>
                </a:solidFill>
                <a:effectLst/>
                <a:latin typeface="+mn-lt"/>
                <a:ea typeface="+mn-ea"/>
                <a:cs typeface="+mn-cs"/>
              </a:rPr>
              <a:t>Options</a:t>
            </a:r>
            <a:r>
              <a:rPr lang="en-gb"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gb"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gb"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364090</xdr:colOff>
      <xdr:row>14</xdr:row>
      <xdr:rowOff>150547</xdr:rowOff>
    </xdr:from>
    <xdr:ext cx="8554336" cy="0"/>
    <xdr:cxnSp macro="">
      <xdr:nvCxnSpPr>
        <xdr:cNvPr id="2" name="Straight Connector 1" descr="Decorative line">
          <a:extLst>
            <a:ext uri="{FF2B5EF4-FFF2-40B4-BE49-F238E27FC236}">
              <a16:creationId xmlns:a16="http://schemas.microsoft.com/office/drawing/2014/main" id="{F776ADAF-9C7F-4026-AE1C-DE20CA3021B8}"/>
            </a:ext>
          </a:extLst>
        </xdr:cNvPr>
        <xdr:cNvCxnSpPr/>
      </xdr:nvCxnSpPr>
      <xdr:spPr>
        <a:xfrm>
          <a:off x="954640" y="3389047"/>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0</xdr:col>
      <xdr:colOff>333376</xdr:colOff>
      <xdr:row>0</xdr:row>
      <xdr:rowOff>352425</xdr:rowOff>
    </xdr:from>
    <xdr:ext cx="9309411" cy="4156071"/>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156071"/>
          <a:chOff x="171451" y="285750"/>
          <a:chExt cx="9309411" cy="4156071"/>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156071"/>
            <a:chOff x="171451" y="285750"/>
            <a:chExt cx="9309411" cy="4156071"/>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411480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10896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99776" y="18843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gb"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Have 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gb" sz="2600" b="0" i="0" baseline="0">
                <a:solidFill>
                  <a:schemeClr val="bg1"/>
                </a:solidFill>
                <a:effectLst/>
                <a:latin typeface="Segoe UI Light" pitchFamily="34" charset="0"/>
                <a:ea typeface="Segoe UI" pitchFamily="34" charset="0"/>
                <a:cs typeface="Segoe UI" pitchFamily="34" charset="0"/>
              </a:rPr>
              <a:t>Have more questions about Excel?</a:t>
            </a:r>
            <a:endParaRPr lang="en-US" sz="2600" b="0">
              <a:latin typeface="Segoe UI Light" pitchFamily="34" charset="0"/>
              <a:ea typeface="Segoe UI" pitchFamily="34" charset="0"/>
              <a:cs typeface="Segoe UI" pitchFamily="34" charset="0"/>
            </a:endParaRPr>
          </a:p>
        </xdr:txBody>
      </xdr:sp>
      <xdr:sp macro="" textlink="">
        <xdr:nvSpPr>
          <xdr:cNvPr id="23" name="TextBox 22" descr="Learn more">
            <a:hlinkClick xmlns:r="http://schemas.openxmlformats.org/officeDocument/2006/relationships" r:id="rId1" tooltip="Learn more about the Excel Community on the web"/>
            <a:extLst>
              <a:ext uri="{FF2B5EF4-FFF2-40B4-BE49-F238E27FC236}">
                <a16:creationId xmlns:a16="http://schemas.microsoft.com/office/drawing/2014/main" id="{0E4F3BD9-1086-4455-B51C-A8936225A3CC}"/>
              </a:ext>
            </a:extLst>
          </xdr:cNvPr>
          <xdr:cNvSpPr txBox="1"/>
        </xdr:nvSpPr>
        <xdr:spPr>
          <a:xfrm>
            <a:off x="2481723" y="33397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n-gb"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2" tooltip="Learn more about what’s new in Excel on the web"/>
            <a:extLst>
              <a:ext uri="{FF2B5EF4-FFF2-40B4-BE49-F238E27FC236}">
                <a16:creationId xmlns:a16="http://schemas.microsoft.com/office/drawing/2014/main" id="{C99A8BC1-9314-4FC6-B158-3CC6B224F07E}"/>
              </a:ext>
            </a:extLst>
          </xdr:cNvPr>
          <xdr:cNvSpPr txBox="1"/>
        </xdr:nvSpPr>
        <xdr:spPr>
          <a:xfrm>
            <a:off x="6081467" y="33397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n-gb"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extLst>
              <a:ext uri="{FF2B5EF4-FFF2-40B4-BE49-F238E27FC236}">
                <a16:creationId xmlns:a16="http://schemas.microsoft.com/office/drawing/2014/main" id="{1293751F-7023-4F3D-A3F2-7A62FD5D2D64}"/>
              </a:ext>
            </a:extLst>
          </xdr:cNvPr>
          <xdr:cNvSpPr txBox="1"/>
        </xdr:nvSpPr>
        <xdr:spPr>
          <a:xfrm>
            <a:off x="2481723" y="2333624"/>
            <a:ext cx="167117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n-gb"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en-gb"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8" name="TextBox 27" descr="What else is new?&#10;Office 365 subscribers get continual updates and new features">
            <a:extLst>
              <a:ext uri="{FF2B5EF4-FFF2-40B4-BE49-F238E27FC236}">
                <a16:creationId xmlns:a16="http://schemas.microsoft.com/office/drawing/2014/main" id="{ECCFA6AB-0C67-4817-85A5-BD3EDB6C982F}"/>
              </a:ext>
            </a:extLst>
          </xdr:cNvPr>
          <xdr:cNvSpPr txBox="1"/>
        </xdr:nvSpPr>
        <xdr:spPr>
          <a:xfrm>
            <a:off x="6029326" y="23336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n-gb"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rtl="0"/>
            <a:r>
              <a:rPr lang="en-gb"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1543050" y="2476616"/>
            <a:ext cx="926984" cy="774603"/>
          </a:xfrm>
          <a:prstGeom prst="rect">
            <a:avLst/>
          </a:prstGeom>
        </xdr:spPr>
      </xdr:pic>
    </xdr:grpSp>
    <xdr:clientData/>
  </xdr:oneCellAnchor>
  <xdr:oneCellAnchor>
    <xdr:from>
      <xdr:col>1</xdr:col>
      <xdr:colOff>4545888</xdr:colOff>
      <xdr:row>10</xdr:row>
      <xdr:rowOff>165387</xdr:rowOff>
    </xdr:from>
    <xdr:ext cx="974505" cy="786961"/>
    <xdr:grpSp>
      <xdr:nvGrpSpPr>
        <xdr:cNvPr id="5" name="Group 4" descr="What else is new?">
          <a:extLst>
            <a:ext uri="{FF2B5EF4-FFF2-40B4-BE49-F238E27FC236}">
              <a16:creationId xmlns:a16="http://schemas.microsoft.com/office/drawing/2014/main" id="{C26483B0-64DC-4BE9-92D8-7D9943F8404A}"/>
            </a:ext>
          </a:extLst>
        </xdr:cNvPr>
        <xdr:cNvGrpSpPr/>
      </xdr:nvGrpSpPr>
      <xdr:grpSpPr>
        <a:xfrm>
          <a:off x="5155488" y="2641887"/>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7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4CA926-211C-46F4-A033-231DAF833682}">
  <we:reference id="56ea8b68-fbaf-4a26-a253-b2384b9d37d3" version="1.0.0.0" store="\\TKYTHOMLAPTOP\Users\t-kythom\Source\Repos\LearnOffice" storeType="Filesystem"/>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go.microsoft.com/fwlink/?linkid=844970" TargetMode="External"/><Relationship Id="rId2" Type="http://schemas.openxmlformats.org/officeDocument/2006/relationships/hyperlink" Target="https://support.office.com/en-gb/article/what-s-new-in-excel-2016-for-windows-5fdb9208-ff33-45b6-9e08-1f5cdb3a6c73?ui=en-US&amp;rs=en-GB&amp;ad=GB" TargetMode="External"/><Relationship Id="rId1" Type="http://schemas.openxmlformats.org/officeDocument/2006/relationships/hyperlink" Target="http://go.microsoft.com/fwlink/?LinkId=844969" TargetMode="External"/><Relationship Id="rId5" Type="http://schemas.openxmlformats.org/officeDocument/2006/relationships/drawing" Target="../drawings/drawing13.xm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workbookViewId="0"/>
  </sheetViews>
  <sheetFormatPr baseColWidth="10" defaultColWidth="11.109375" defaultRowHeight="20.25" customHeight="1" x14ac:dyDescent="0.3"/>
  <cols>
    <col min="1" max="1" width="129.6640625" style="129" customWidth="1"/>
    <col min="2" max="2" width="3.5546875" style="129" customWidth="1"/>
    <col min="3" max="16384" width="11.109375" style="129"/>
  </cols>
  <sheetData>
    <row r="1" spans="1:1" ht="20.25" customHeight="1" x14ac:dyDescent="1.55">
      <c r="A1" s="128"/>
    </row>
    <row r="2" spans="1:1" ht="102" customHeight="1" x14ac:dyDescent="1.55">
      <c r="A2" s="128" t="s">
        <v>0</v>
      </c>
    </row>
    <row r="3" spans="1:1" ht="44.4" x14ac:dyDescent="0.45">
      <c r="A3" s="130" t="s">
        <v>1</v>
      </c>
    </row>
    <row r="4" spans="1:1" ht="264" customHeight="1" x14ac:dyDescent="0.3">
      <c r="A4" s="131" t="s">
        <v>2</v>
      </c>
    </row>
    <row r="5" spans="1:1" ht="20.25" customHeight="1" x14ac:dyDescent="0.45">
      <c r="A5" s="130"/>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baseColWidth="10" defaultColWidth="9.109375" defaultRowHeight="14.4" x14ac:dyDescent="0.3"/>
  <cols>
    <col min="1" max="1" width="12.6640625" style="27" customWidth="1"/>
    <col min="2" max="2" width="82.88671875" style="21" customWidth="1"/>
    <col min="3" max="3" width="15.6640625" style="21" bestFit="1" customWidth="1"/>
    <col min="4" max="4" width="2.33203125" style="21" customWidth="1"/>
    <col min="5" max="5" width="18" style="21" bestFit="1" customWidth="1"/>
    <col min="6" max="6" width="15.6640625" style="21" customWidth="1"/>
    <col min="7" max="7" width="13.33203125" style="21" customWidth="1"/>
    <col min="8" max="10" width="9.109375" style="21"/>
    <col min="11" max="11" width="9.109375" style="21" customWidth="1"/>
    <col min="12" max="16384" width="9.109375" style="21"/>
  </cols>
  <sheetData>
    <row r="1" spans="1:7" ht="60" customHeight="1" x14ac:dyDescent="0.3">
      <c r="A1" s="27" t="s">
        <v>3</v>
      </c>
      <c r="C1" s="67"/>
      <c r="D1" s="68"/>
      <c r="E1" s="68"/>
      <c r="F1" s="68"/>
    </row>
    <row r="2" spans="1:7" ht="15" thickBot="1" x14ac:dyDescent="0.35">
      <c r="A2" s="27" t="s">
        <v>4</v>
      </c>
      <c r="C2" s="69" t="s">
        <v>30</v>
      </c>
      <c r="E2" s="5" t="s">
        <v>31</v>
      </c>
      <c r="F2" s="6" t="s">
        <v>37</v>
      </c>
      <c r="G2" s="6" t="s">
        <v>38</v>
      </c>
    </row>
    <row r="3" spans="1:7" ht="15.6" thickTop="1" thickBot="1" x14ac:dyDescent="0.35">
      <c r="A3" s="27" t="s">
        <v>5</v>
      </c>
      <c r="C3" s="87">
        <v>1</v>
      </c>
      <c r="E3" s="101" t="s">
        <v>32</v>
      </c>
      <c r="F3" s="100"/>
      <c r="G3" s="102">
        <f>C3+C4</f>
        <v>3</v>
      </c>
    </row>
    <row r="4" spans="1:7" ht="15.6" thickTop="1" thickBot="1" x14ac:dyDescent="0.35">
      <c r="A4" s="27" t="s">
        <v>6</v>
      </c>
      <c r="C4" s="87">
        <v>2</v>
      </c>
      <c r="E4" s="101" t="s">
        <v>33</v>
      </c>
      <c r="F4" s="100"/>
      <c r="G4" s="102">
        <f>C3-C4</f>
        <v>-1</v>
      </c>
    </row>
    <row r="5" spans="1:7" ht="15" thickTop="1" x14ac:dyDescent="0.3">
      <c r="A5" s="27" t="s">
        <v>7</v>
      </c>
      <c r="E5" s="101" t="s">
        <v>34</v>
      </c>
      <c r="F5" s="100"/>
      <c r="G5" s="102">
        <f>C3*C4</f>
        <v>2</v>
      </c>
    </row>
    <row r="6" spans="1:7" ht="15" thickBot="1" x14ac:dyDescent="0.35">
      <c r="A6" s="27" t="s">
        <v>8</v>
      </c>
      <c r="E6" s="101" t="s">
        <v>35</v>
      </c>
      <c r="F6" s="100"/>
      <c r="G6" s="102">
        <f>C3/C4</f>
        <v>0.5</v>
      </c>
    </row>
    <row r="7" spans="1:7" ht="15" customHeight="1" thickTop="1" thickBot="1" x14ac:dyDescent="0.35">
      <c r="A7" s="27" t="s">
        <v>9</v>
      </c>
      <c r="E7" s="101" t="s">
        <v>36</v>
      </c>
      <c r="F7" s="103"/>
      <c r="G7" s="102">
        <f>C3^C4</f>
        <v>1</v>
      </c>
    </row>
    <row r="8" spans="1:7" ht="15" thickTop="1" x14ac:dyDescent="0.3">
      <c r="A8" s="27" t="s">
        <v>10</v>
      </c>
    </row>
    <row r="9" spans="1:7" x14ac:dyDescent="0.3">
      <c r="A9" s="27" t="s">
        <v>11</v>
      </c>
    </row>
    <row r="10" spans="1:7" x14ac:dyDescent="0.3">
      <c r="A10" s="27" t="s">
        <v>12</v>
      </c>
    </row>
    <row r="11" spans="1:7" x14ac:dyDescent="0.3">
      <c r="A11" s="27" t="s">
        <v>13</v>
      </c>
    </row>
    <row r="12" spans="1:7" x14ac:dyDescent="0.3">
      <c r="A12" s="27" t="s">
        <v>14</v>
      </c>
    </row>
    <row r="13" spans="1:7" ht="15" customHeight="1" x14ac:dyDescent="0.3">
      <c r="A13" s="29" t="s">
        <v>304</v>
      </c>
    </row>
    <row r="14" spans="1:7" x14ac:dyDescent="0.3">
      <c r="A14" s="27" t="s">
        <v>15</v>
      </c>
    </row>
    <row r="15" spans="1:7" x14ac:dyDescent="0.3">
      <c r="A15" s="27" t="s">
        <v>16</v>
      </c>
    </row>
    <row r="16" spans="1:7" x14ac:dyDescent="0.3">
      <c r="A16" s="27" t="s">
        <v>17</v>
      </c>
    </row>
    <row r="17" spans="1:7" x14ac:dyDescent="0.3">
      <c r="A17" s="27" t="s">
        <v>18</v>
      </c>
    </row>
    <row r="18" spans="1:7" x14ac:dyDescent="0.3">
      <c r="A18" s="28" t="s">
        <v>309</v>
      </c>
    </row>
    <row r="19" spans="1:7" x14ac:dyDescent="0.3">
      <c r="A19" s="27" t="s">
        <v>19</v>
      </c>
    </row>
    <row r="20" spans="1:7" x14ac:dyDescent="0.3">
      <c r="A20" s="27" t="s">
        <v>20</v>
      </c>
    </row>
    <row r="21" spans="1:7" ht="15" customHeight="1" x14ac:dyDescent="0.3">
      <c r="A21" s="29" t="s">
        <v>21</v>
      </c>
    </row>
    <row r="22" spans="1:7" x14ac:dyDescent="0.3">
      <c r="A22" s="27" t="s">
        <v>22</v>
      </c>
    </row>
    <row r="23" spans="1:7" x14ac:dyDescent="0.3">
      <c r="A23" s="27" t="s">
        <v>23</v>
      </c>
    </row>
    <row r="24" spans="1:7" x14ac:dyDescent="0.3">
      <c r="A24" s="27" t="s">
        <v>24</v>
      </c>
    </row>
    <row r="25" spans="1:7" ht="32.4" x14ac:dyDescent="0.3">
      <c r="A25" s="27" t="s">
        <v>25</v>
      </c>
      <c r="C25" s="67"/>
      <c r="D25" s="68"/>
      <c r="E25" s="68"/>
      <c r="F25" s="68"/>
      <c r="G25" s="68"/>
    </row>
    <row r="26" spans="1:7" x14ac:dyDescent="0.3">
      <c r="A26" s="27" t="s">
        <v>26</v>
      </c>
    </row>
    <row r="27" spans="1:7" x14ac:dyDescent="0.3">
      <c r="A27" s="27" t="s">
        <v>27</v>
      </c>
    </row>
    <row r="28" spans="1:7" ht="25.8" x14ac:dyDescent="0.5">
      <c r="A28" s="27" t="s">
        <v>28</v>
      </c>
      <c r="E28" s="61"/>
    </row>
    <row r="29" spans="1:7" x14ac:dyDescent="0.3">
      <c r="A29" s="27" t="s">
        <v>29</v>
      </c>
    </row>
    <row r="40" spans="10:14" x14ac:dyDescent="0.3">
      <c r="J40" s="6" t="s">
        <v>39</v>
      </c>
    </row>
    <row r="41" spans="10:14" x14ac:dyDescent="0.3">
      <c r="J41" s="62">
        <v>4</v>
      </c>
    </row>
    <row r="42" spans="10:14" x14ac:dyDescent="0.3">
      <c r="J42" s="62">
        <v>8</v>
      </c>
    </row>
    <row r="43" spans="10:14" x14ac:dyDescent="0.3">
      <c r="J43" s="60">
        <f>SUM(J41:J42)</f>
        <v>12</v>
      </c>
      <c r="N43"/>
    </row>
    <row r="46" spans="10:14" x14ac:dyDescent="0.3">
      <c r="L46"/>
      <c r="M46"/>
    </row>
    <row r="64" spans="7:7" x14ac:dyDescent="0.3">
      <c r="G64" s="63"/>
    </row>
    <row r="65" spans="7:7" x14ac:dyDescent="0.3">
      <c r="G65" s="63"/>
    </row>
    <row r="66" spans="7:7" x14ac:dyDescent="0.3">
      <c r="G66" s="63"/>
    </row>
    <row r="67" spans="7:7" x14ac:dyDescent="0.3">
      <c r="G67" s="63"/>
    </row>
    <row r="86" ht="17.399999999999999" customHeight="1" x14ac:dyDescent="0.3"/>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heetViews>
  <sheetFormatPr baseColWidth="10" defaultColWidth="8.88671875" defaultRowHeight="15" customHeight="1" x14ac:dyDescent="0.3"/>
  <cols>
    <col min="1" max="1" width="12.6640625" style="70" customWidth="1"/>
    <col min="2" max="2" width="82.88671875" style="74" customWidth="1"/>
    <col min="3" max="4" width="13.33203125" style="74" customWidth="1"/>
    <col min="5" max="5" width="2.33203125" style="74" customWidth="1"/>
    <col min="6" max="6" width="16" style="74" bestFit="1" customWidth="1"/>
    <col min="7" max="7" width="13.33203125" style="74" customWidth="1"/>
    <col min="8" max="16384" width="8.88671875" style="74"/>
  </cols>
  <sheetData>
    <row r="1" spans="1:13" ht="60" customHeight="1" x14ac:dyDescent="0.65">
      <c r="A1" s="7" t="s">
        <v>40</v>
      </c>
      <c r="B1" s="71"/>
      <c r="C1" s="72"/>
      <c r="D1" s="73"/>
      <c r="E1" s="73"/>
      <c r="F1" s="73"/>
      <c r="G1" s="73"/>
    </row>
    <row r="2" spans="1:13" ht="15" customHeight="1" x14ac:dyDescent="0.3">
      <c r="A2" s="70" t="s">
        <v>41</v>
      </c>
      <c r="C2" s="75" t="s">
        <v>55</v>
      </c>
      <c r="D2" s="76" t="s">
        <v>71</v>
      </c>
      <c r="F2" s="75" t="s">
        <v>73</v>
      </c>
      <c r="G2" s="76" t="s">
        <v>71</v>
      </c>
    </row>
    <row r="3" spans="1:13" ht="15" customHeight="1" x14ac:dyDescent="0.3">
      <c r="A3" s="99" t="s">
        <v>308</v>
      </c>
      <c r="B3" s="77"/>
      <c r="C3" s="105" t="s">
        <v>56</v>
      </c>
      <c r="D3" s="105">
        <v>50</v>
      </c>
      <c r="F3" s="105" t="s">
        <v>74</v>
      </c>
      <c r="G3" s="105">
        <v>50</v>
      </c>
    </row>
    <row r="4" spans="1:13" ht="15" customHeight="1" x14ac:dyDescent="0.3">
      <c r="A4" s="70" t="s">
        <v>42</v>
      </c>
      <c r="C4" s="105" t="s">
        <v>57</v>
      </c>
      <c r="D4" s="105">
        <v>20</v>
      </c>
      <c r="E4" s="78"/>
      <c r="F4" s="105" t="s">
        <v>75</v>
      </c>
      <c r="G4" s="105">
        <v>30</v>
      </c>
    </row>
    <row r="5" spans="1:13" s="78" customFormat="1" ht="15" customHeight="1" x14ac:dyDescent="0.3">
      <c r="A5" s="7" t="s">
        <v>43</v>
      </c>
      <c r="C5" s="105" t="s">
        <v>58</v>
      </c>
      <c r="D5" s="105">
        <v>60</v>
      </c>
      <c r="F5" s="105" t="s">
        <v>76</v>
      </c>
      <c r="G5" s="105">
        <v>10</v>
      </c>
    </row>
    <row r="6" spans="1:13" s="78" customFormat="1" ht="15" customHeight="1" x14ac:dyDescent="0.3">
      <c r="A6" s="70" t="s">
        <v>11</v>
      </c>
      <c r="B6" s="79"/>
      <c r="C6" s="105" t="s">
        <v>59</v>
      </c>
      <c r="D6" s="106">
        <v>40</v>
      </c>
      <c r="F6" s="105" t="s">
        <v>77</v>
      </c>
      <c r="G6" s="106">
        <v>50</v>
      </c>
    </row>
    <row r="7" spans="1:13" s="78" customFormat="1" ht="15" customHeight="1" x14ac:dyDescent="0.3">
      <c r="A7" s="70" t="s">
        <v>44</v>
      </c>
      <c r="C7" s="119" t="s">
        <v>60</v>
      </c>
      <c r="D7" s="107">
        <f>SUM(D3:D6)</f>
        <v>170</v>
      </c>
      <c r="F7" s="119" t="s">
        <v>60</v>
      </c>
      <c r="G7" s="107"/>
      <c r="M7" s="80"/>
    </row>
    <row r="8" spans="1:13" s="78" customFormat="1" ht="15" customHeight="1" x14ac:dyDescent="0.3">
      <c r="A8" s="70" t="s">
        <v>12</v>
      </c>
      <c r="M8" s="80"/>
    </row>
    <row r="9" spans="1:13" s="78" customFormat="1" ht="15" customHeight="1" x14ac:dyDescent="0.3">
      <c r="A9" s="70" t="s">
        <v>45</v>
      </c>
      <c r="C9" s="75" t="s">
        <v>61</v>
      </c>
      <c r="D9" s="76" t="s">
        <v>71</v>
      </c>
      <c r="F9" s="75" t="s">
        <v>61</v>
      </c>
      <c r="G9" s="76" t="s">
        <v>71</v>
      </c>
      <c r="M9" s="80"/>
    </row>
    <row r="10" spans="1:13" s="78" customFormat="1" ht="15" customHeight="1" x14ac:dyDescent="0.4">
      <c r="A10" s="81" t="s">
        <v>46</v>
      </c>
      <c r="C10" s="105" t="s">
        <v>62</v>
      </c>
      <c r="D10" s="105">
        <v>50</v>
      </c>
      <c r="F10" s="105" t="s">
        <v>62</v>
      </c>
      <c r="G10" s="105">
        <v>50</v>
      </c>
      <c r="M10" s="80"/>
    </row>
    <row r="11" spans="1:13" s="78" customFormat="1" ht="15" customHeight="1" x14ac:dyDescent="0.3">
      <c r="A11" s="70" t="s">
        <v>47</v>
      </c>
      <c r="C11" s="105" t="s">
        <v>63</v>
      </c>
      <c r="D11" s="105">
        <v>100</v>
      </c>
      <c r="F11" s="105" t="s">
        <v>63</v>
      </c>
      <c r="G11" s="105">
        <v>100</v>
      </c>
      <c r="M11" s="80"/>
    </row>
    <row r="12" spans="1:13" s="78" customFormat="1" ht="15" customHeight="1" x14ac:dyDescent="0.3">
      <c r="A12" s="70" t="s">
        <v>48</v>
      </c>
      <c r="C12" s="105" t="s">
        <v>64</v>
      </c>
      <c r="D12" s="105">
        <v>40</v>
      </c>
      <c r="F12" s="105" t="s">
        <v>64</v>
      </c>
      <c r="G12" s="105">
        <v>40</v>
      </c>
      <c r="M12" s="80"/>
    </row>
    <row r="13" spans="1:13" s="78" customFormat="1" ht="15" customHeight="1" x14ac:dyDescent="0.3">
      <c r="A13" s="70" t="s">
        <v>49</v>
      </c>
      <c r="C13" s="105" t="s">
        <v>65</v>
      </c>
      <c r="D13" s="105">
        <v>50</v>
      </c>
      <c r="F13" s="105" t="s">
        <v>65</v>
      </c>
      <c r="G13" s="105">
        <v>50</v>
      </c>
      <c r="M13" s="80"/>
    </row>
    <row r="14" spans="1:13" s="78" customFormat="1" ht="15" customHeight="1" thickBot="1" x14ac:dyDescent="0.35">
      <c r="A14" s="132" t="s">
        <v>317</v>
      </c>
      <c r="C14" s="105" t="s">
        <v>66</v>
      </c>
      <c r="D14" s="105">
        <v>20</v>
      </c>
      <c r="F14" s="105" t="s">
        <v>66</v>
      </c>
      <c r="G14" s="105">
        <v>20</v>
      </c>
      <c r="M14" s="80"/>
    </row>
    <row r="15" spans="1:13" s="78" customFormat="1" ht="15" customHeight="1" thickTop="1" thickBot="1" x14ac:dyDescent="0.35">
      <c r="A15" s="70" t="s">
        <v>24</v>
      </c>
      <c r="C15" s="119" t="s">
        <v>60</v>
      </c>
      <c r="D15" s="104"/>
      <c r="F15" s="119" t="s">
        <v>78</v>
      </c>
      <c r="G15" s="82"/>
      <c r="M15" s="80"/>
    </row>
    <row r="16" spans="1:13" s="78" customFormat="1" ht="15" customHeight="1" thickTop="1" x14ac:dyDescent="0.3">
      <c r="A16" s="70" t="s">
        <v>50</v>
      </c>
      <c r="M16" s="80"/>
    </row>
    <row r="17" spans="1:13" s="78" customFormat="1" ht="15" customHeight="1" x14ac:dyDescent="0.3">
      <c r="A17" s="70" t="s">
        <v>51</v>
      </c>
      <c r="M17" s="80"/>
    </row>
    <row r="18" spans="1:13" s="78" customFormat="1" ht="15" customHeight="1" x14ac:dyDescent="0.3">
      <c r="A18" s="70" t="s">
        <v>52</v>
      </c>
      <c r="M18" s="80"/>
    </row>
    <row r="19" spans="1:13" s="78" customFormat="1" ht="15" customHeight="1" x14ac:dyDescent="0.3">
      <c r="A19" s="70" t="s">
        <v>29</v>
      </c>
      <c r="C19" s="80"/>
      <c r="M19" s="80"/>
    </row>
    <row r="20" spans="1:13" s="78" customFormat="1" ht="15" customHeight="1" x14ac:dyDescent="0.3">
      <c r="A20" s="70" t="s">
        <v>53</v>
      </c>
      <c r="M20" s="80"/>
    </row>
    <row r="21" spans="1:13" s="78" customFormat="1" ht="15" customHeight="1" x14ac:dyDescent="0.3">
      <c r="A21" s="70" t="s">
        <v>12</v>
      </c>
      <c r="M21" s="80"/>
    </row>
    <row r="22" spans="1:13" s="78" customFormat="1" ht="15" customHeight="1" x14ac:dyDescent="0.3">
      <c r="A22" s="70"/>
      <c r="M22" s="80"/>
    </row>
    <row r="23" spans="1:13" s="78" customFormat="1" ht="15" customHeight="1" x14ac:dyDescent="0.3">
      <c r="A23" s="70"/>
    </row>
    <row r="26" spans="1:13" ht="15" customHeight="1" x14ac:dyDescent="0.3">
      <c r="H26" s="80"/>
    </row>
    <row r="34" spans="3:7" ht="15" customHeight="1" x14ac:dyDescent="0.3">
      <c r="C34" s="75" t="s">
        <v>55</v>
      </c>
      <c r="D34" s="76" t="s">
        <v>71</v>
      </c>
    </row>
    <row r="35" spans="3:7" ht="15" customHeight="1" x14ac:dyDescent="0.3">
      <c r="C35" s="105" t="s">
        <v>56</v>
      </c>
      <c r="D35" s="105">
        <v>50</v>
      </c>
      <c r="E35" s="78"/>
    </row>
    <row r="36" spans="3:7" ht="15" customHeight="1" x14ac:dyDescent="0.3">
      <c r="C36" s="105" t="s">
        <v>57</v>
      </c>
      <c r="D36" s="105">
        <v>20</v>
      </c>
      <c r="E36" s="78"/>
    </row>
    <row r="37" spans="3:7" ht="15" customHeight="1" x14ac:dyDescent="0.3">
      <c r="C37" s="105" t="s">
        <v>58</v>
      </c>
      <c r="D37" s="105">
        <v>60</v>
      </c>
      <c r="E37" s="78"/>
    </row>
    <row r="38" spans="3:7" ht="15" customHeight="1" x14ac:dyDescent="0.3">
      <c r="C38" s="105" t="s">
        <v>59</v>
      </c>
      <c r="D38" s="105">
        <v>40</v>
      </c>
      <c r="E38" s="78"/>
    </row>
    <row r="39" spans="3:7" ht="15" customHeight="1" x14ac:dyDescent="0.3">
      <c r="C39" s="119" t="s">
        <v>60</v>
      </c>
      <c r="D39" s="104">
        <f>SUM(D35:D38)</f>
        <v>170</v>
      </c>
      <c r="E39" s="78"/>
      <c r="F39" s="78"/>
      <c r="G39" s="78"/>
    </row>
    <row r="44" spans="3:7" ht="15" customHeight="1" x14ac:dyDescent="0.3">
      <c r="C44" s="75" t="s">
        <v>61</v>
      </c>
      <c r="D44" s="76" t="s">
        <v>71</v>
      </c>
      <c r="E44" s="78"/>
    </row>
    <row r="45" spans="3:7" ht="15" customHeight="1" x14ac:dyDescent="0.3">
      <c r="C45" s="105" t="s">
        <v>67</v>
      </c>
      <c r="D45" s="105">
        <v>20</v>
      </c>
      <c r="E45" s="78"/>
    </row>
    <row r="46" spans="3:7" ht="15" customHeight="1" x14ac:dyDescent="0.3">
      <c r="C46" s="105" t="s">
        <v>68</v>
      </c>
      <c r="D46" s="105">
        <v>10</v>
      </c>
      <c r="E46" s="78"/>
    </row>
    <row r="47" spans="3:7" ht="15" customHeight="1" x14ac:dyDescent="0.3">
      <c r="C47" s="105" t="s">
        <v>69</v>
      </c>
      <c r="D47" s="105">
        <v>10</v>
      </c>
      <c r="E47" s="78"/>
    </row>
    <row r="48" spans="3:7" ht="15" customHeight="1" x14ac:dyDescent="0.3">
      <c r="C48" s="105" t="s">
        <v>70</v>
      </c>
      <c r="D48" s="105">
        <v>40</v>
      </c>
      <c r="E48" s="78"/>
    </row>
    <row r="50" spans="4:7" ht="15" customHeight="1" x14ac:dyDescent="0.3">
      <c r="D50" s="76" t="s">
        <v>72</v>
      </c>
      <c r="F50" s="76" t="s">
        <v>79</v>
      </c>
      <c r="G50" s="76" t="s">
        <v>80</v>
      </c>
    </row>
    <row r="51" spans="4:7" ht="15" customHeight="1" x14ac:dyDescent="0.3">
      <c r="D51" s="83">
        <f>SUM(D45:D48,100)</f>
        <v>180</v>
      </c>
      <c r="F51" s="120">
        <v>100</v>
      </c>
      <c r="G51" s="120">
        <f>SUM(D45:D48,F51)</f>
        <v>180</v>
      </c>
    </row>
    <row r="87" spans="1:1" ht="15" customHeight="1" x14ac:dyDescent="0.3">
      <c r="A87" s="70" t="s">
        <v>29</v>
      </c>
    </row>
    <row r="88" spans="1:1" ht="15" customHeight="1" x14ac:dyDescent="0.3">
      <c r="A88" s="70" t="s">
        <v>54</v>
      </c>
    </row>
  </sheetData>
  <hyperlinks>
    <hyperlink ref="A87" r:id="rId1" tooltip="Select for an overview of Free Excel training online from the web" xr:uid="{00000000-0004-0000-0200-000000000000}"/>
  </hyperlinks>
  <pageMargins left="0.7" right="0.7" top="0.75" bottom="0.75" header="0.3" footer="0.3"/>
  <pageSetup paperSize="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baseColWidth="10" defaultColWidth="8.88671875" defaultRowHeight="14.4" x14ac:dyDescent="0.3"/>
  <cols>
    <col min="1" max="1" width="12.6640625" style="12" customWidth="1"/>
    <col min="2" max="2" width="82.88671875" style="1" customWidth="1"/>
    <col min="3" max="3" width="13.33203125" style="7" customWidth="1"/>
    <col min="4" max="4" width="13.33203125" style="1" customWidth="1"/>
    <col min="5" max="5" width="2.33203125" style="1" customWidth="1"/>
    <col min="6" max="6" width="13.33203125" style="2" customWidth="1"/>
    <col min="7" max="7" width="13.33203125" style="1" customWidth="1"/>
    <col min="8" max="16384" width="8.88671875" style="1"/>
  </cols>
  <sheetData>
    <row r="1" spans="1:10" ht="60" customHeight="1" x14ac:dyDescent="0.3">
      <c r="A1" s="13" t="s">
        <v>81</v>
      </c>
      <c r="B1" s="40"/>
      <c r="C1" s="72"/>
      <c r="D1" s="84"/>
      <c r="E1" s="84"/>
      <c r="F1" s="84"/>
      <c r="G1" s="84"/>
      <c r="H1" s="40"/>
      <c r="I1" s="40"/>
      <c r="J1" s="40"/>
    </row>
    <row r="2" spans="1:10" ht="15" customHeight="1" x14ac:dyDescent="0.4">
      <c r="A2" s="81" t="s">
        <v>82</v>
      </c>
      <c r="B2" s="40"/>
      <c r="C2" s="5" t="s">
        <v>55</v>
      </c>
      <c r="D2" s="6" t="s">
        <v>71</v>
      </c>
      <c r="E2" s="42"/>
      <c r="F2" s="9" t="s">
        <v>73</v>
      </c>
      <c r="G2" s="6" t="s">
        <v>71</v>
      </c>
      <c r="H2" s="40"/>
      <c r="I2" s="40"/>
      <c r="J2" s="3"/>
    </row>
    <row r="3" spans="1:10" ht="15" customHeight="1" x14ac:dyDescent="0.4">
      <c r="A3" s="81" t="s">
        <v>83</v>
      </c>
      <c r="B3" s="40"/>
      <c r="C3" s="109" t="s">
        <v>56</v>
      </c>
      <c r="D3" s="110">
        <v>50</v>
      </c>
      <c r="E3" s="42"/>
      <c r="F3" s="111" t="s">
        <v>74</v>
      </c>
      <c r="G3" s="110">
        <v>50</v>
      </c>
      <c r="H3" s="40"/>
      <c r="I3" s="40"/>
      <c r="J3" s="3"/>
    </row>
    <row r="4" spans="1:10" ht="15" customHeight="1" x14ac:dyDescent="0.4">
      <c r="A4" s="81" t="s">
        <v>84</v>
      </c>
      <c r="B4" s="40"/>
      <c r="C4" s="109" t="s">
        <v>57</v>
      </c>
      <c r="D4" s="110">
        <v>20</v>
      </c>
      <c r="E4" s="42"/>
      <c r="F4" s="111" t="s">
        <v>75</v>
      </c>
      <c r="G4" s="110">
        <v>30</v>
      </c>
      <c r="H4" s="40"/>
      <c r="I4" s="40"/>
      <c r="J4" s="3"/>
    </row>
    <row r="5" spans="1:10" s="2" customFormat="1" ht="15" customHeight="1" x14ac:dyDescent="0.4">
      <c r="A5" s="81" t="s">
        <v>85</v>
      </c>
      <c r="B5" s="41"/>
      <c r="C5" s="109" t="s">
        <v>58</v>
      </c>
      <c r="D5" s="110">
        <v>60</v>
      </c>
      <c r="E5" s="42"/>
      <c r="F5" s="111" t="s">
        <v>76</v>
      </c>
      <c r="G5" s="110">
        <v>10</v>
      </c>
      <c r="H5" s="41"/>
      <c r="I5" s="41"/>
      <c r="J5" s="3"/>
    </row>
    <row r="6" spans="1:10" s="2" customFormat="1" ht="15" customHeight="1" x14ac:dyDescent="0.3">
      <c r="A6" s="91" t="s">
        <v>86</v>
      </c>
      <c r="B6" s="41"/>
      <c r="C6" s="109" t="s">
        <v>59</v>
      </c>
      <c r="D6" s="110">
        <v>40</v>
      </c>
      <c r="E6" s="42"/>
      <c r="F6" s="111" t="s">
        <v>77</v>
      </c>
      <c r="G6" s="110">
        <v>50</v>
      </c>
      <c r="H6" s="41"/>
      <c r="I6" s="41"/>
      <c r="J6" s="3"/>
    </row>
    <row r="7" spans="1:10" s="2" customFormat="1" ht="15" customHeight="1" x14ac:dyDescent="0.35">
      <c r="A7" s="26" t="s">
        <v>87</v>
      </c>
      <c r="B7" s="41"/>
      <c r="C7" s="8" t="s">
        <v>95</v>
      </c>
      <c r="D7" s="108"/>
      <c r="E7" s="42"/>
      <c r="F7" s="8" t="s">
        <v>95</v>
      </c>
      <c r="G7" s="108"/>
      <c r="H7" s="41"/>
      <c r="I7" s="41"/>
      <c r="J7" s="3"/>
    </row>
    <row r="8" spans="1:10" s="2" customFormat="1" ht="15" customHeight="1" x14ac:dyDescent="0.3">
      <c r="A8" s="15" t="s">
        <v>88</v>
      </c>
      <c r="B8" s="41"/>
      <c r="C8" s="41"/>
      <c r="D8" s="42"/>
      <c r="E8" s="42"/>
      <c r="F8" s="41"/>
      <c r="G8" s="42"/>
      <c r="H8" s="41"/>
      <c r="I8" s="41"/>
      <c r="J8" s="3"/>
    </row>
    <row r="9" spans="1:10" s="2" customFormat="1" ht="15" customHeight="1" x14ac:dyDescent="0.3">
      <c r="A9" s="91" t="s">
        <v>89</v>
      </c>
      <c r="B9" s="41"/>
      <c r="C9" s="5" t="s">
        <v>61</v>
      </c>
      <c r="D9" s="6" t="s">
        <v>71</v>
      </c>
      <c r="E9" s="42"/>
      <c r="F9" s="9" t="s">
        <v>61</v>
      </c>
      <c r="G9" s="6" t="s">
        <v>71</v>
      </c>
      <c r="H9" s="41"/>
      <c r="I9" s="41"/>
      <c r="J9" s="3"/>
    </row>
    <row r="10" spans="1:10" s="2" customFormat="1" ht="15" customHeight="1" x14ac:dyDescent="0.35">
      <c r="A10" s="26" t="s">
        <v>90</v>
      </c>
      <c r="B10" s="41"/>
      <c r="C10" s="109" t="s">
        <v>62</v>
      </c>
      <c r="D10" s="110">
        <v>50</v>
      </c>
      <c r="E10" s="42"/>
      <c r="F10" s="111" t="s">
        <v>62</v>
      </c>
      <c r="G10" s="110">
        <v>50</v>
      </c>
      <c r="H10" s="41"/>
      <c r="I10" s="41"/>
      <c r="J10" s="3"/>
    </row>
    <row r="11" spans="1:10" s="2" customFormat="1" ht="15" customHeight="1" x14ac:dyDescent="0.3">
      <c r="A11" s="15" t="s">
        <v>91</v>
      </c>
      <c r="B11" s="41"/>
      <c r="C11" s="109" t="s">
        <v>63</v>
      </c>
      <c r="D11" s="110">
        <v>100</v>
      </c>
      <c r="E11" s="42"/>
      <c r="F11" s="111" t="s">
        <v>63</v>
      </c>
      <c r="G11" s="110">
        <v>100</v>
      </c>
      <c r="H11" s="41"/>
      <c r="I11" s="41"/>
      <c r="J11" s="3"/>
    </row>
    <row r="12" spans="1:10" s="2" customFormat="1" ht="15" customHeight="1" x14ac:dyDescent="0.3">
      <c r="A12" s="15" t="s">
        <v>92</v>
      </c>
      <c r="B12" s="41"/>
      <c r="C12" s="109" t="s">
        <v>64</v>
      </c>
      <c r="D12" s="110">
        <v>40</v>
      </c>
      <c r="E12" s="42"/>
      <c r="F12" s="111" t="s">
        <v>64</v>
      </c>
      <c r="G12" s="110">
        <v>40</v>
      </c>
      <c r="H12" s="41"/>
      <c r="I12" s="41"/>
      <c r="J12" s="3"/>
    </row>
    <row r="13" spans="1:10" s="2" customFormat="1" ht="15" customHeight="1" x14ac:dyDescent="0.3">
      <c r="A13" s="15" t="s">
        <v>93</v>
      </c>
      <c r="B13" s="41"/>
      <c r="C13" s="109" t="s">
        <v>65</v>
      </c>
      <c r="D13" s="110">
        <v>50</v>
      </c>
      <c r="E13" s="42"/>
      <c r="F13" s="111" t="s">
        <v>65</v>
      </c>
      <c r="G13" s="110">
        <v>50</v>
      </c>
      <c r="H13" s="41"/>
      <c r="I13" s="41"/>
      <c r="J13" s="3"/>
    </row>
    <row r="14" spans="1:10" s="2" customFormat="1" ht="15" customHeight="1" thickBot="1" x14ac:dyDescent="0.35">
      <c r="A14" s="15" t="s">
        <v>94</v>
      </c>
      <c r="B14" s="41"/>
      <c r="C14" s="109" t="s">
        <v>66</v>
      </c>
      <c r="D14" s="110">
        <v>20</v>
      </c>
      <c r="E14" s="42"/>
      <c r="F14" s="111" t="s">
        <v>66</v>
      </c>
      <c r="G14" s="110">
        <v>20</v>
      </c>
      <c r="H14" s="41"/>
      <c r="I14" s="41"/>
      <c r="J14" s="41"/>
    </row>
    <row r="15" spans="1:10" s="2" customFormat="1" ht="15" customHeight="1" thickTop="1" thickBot="1" x14ac:dyDescent="0.35">
      <c r="A15" s="25"/>
      <c r="B15" s="41"/>
      <c r="C15" s="8" t="s">
        <v>95</v>
      </c>
      <c r="D15" s="108"/>
      <c r="E15" s="42"/>
      <c r="F15" s="41"/>
      <c r="G15" s="87"/>
      <c r="H15" s="41"/>
      <c r="I15" s="41"/>
      <c r="J15" s="41"/>
    </row>
    <row r="16" spans="1:10" s="2" customFormat="1" ht="15" customHeight="1" thickTop="1" x14ac:dyDescent="0.3">
      <c r="A16" s="15"/>
      <c r="B16" s="41"/>
      <c r="C16" s="41"/>
      <c r="D16" s="41"/>
      <c r="E16" s="41"/>
      <c r="F16" s="41"/>
      <c r="G16" s="41"/>
      <c r="H16" s="41"/>
      <c r="I16" s="41"/>
      <c r="J16" s="41"/>
    </row>
    <row r="17" spans="1:3" s="2" customFormat="1" ht="15" customHeight="1" x14ac:dyDescent="0.3">
      <c r="A17" s="15"/>
      <c r="B17" s="41"/>
      <c r="C17" s="7"/>
    </row>
    <row r="18" spans="1:3" s="2" customFormat="1" ht="15" customHeight="1" x14ac:dyDescent="0.3">
      <c r="A18" s="15"/>
      <c r="B18" s="41"/>
      <c r="C18" s="7"/>
    </row>
    <row r="19" spans="1:3" s="2" customFormat="1" ht="15" customHeight="1" x14ac:dyDescent="0.3">
      <c r="A19" s="15"/>
      <c r="B19" s="41"/>
      <c r="C19" s="7"/>
    </row>
    <row r="20" spans="1:3" s="2" customFormat="1" ht="15" customHeight="1" x14ac:dyDescent="0.3">
      <c r="A20" s="15"/>
      <c r="B20" s="41"/>
      <c r="C20" s="7"/>
    </row>
    <row r="21" spans="1:3" s="2" customFormat="1" ht="15" customHeight="1" x14ac:dyDescent="0.3">
      <c r="A21" s="15"/>
      <c r="B21" s="41"/>
      <c r="C21" s="7"/>
    </row>
    <row r="22" spans="1:3" s="2" customFormat="1" ht="15" customHeight="1" x14ac:dyDescent="0.3">
      <c r="A22" s="15"/>
      <c r="B22" s="41"/>
      <c r="C22" s="7"/>
    </row>
    <row r="23" spans="1:3" s="2" customFormat="1" ht="15" customHeight="1" x14ac:dyDescent="0.3">
      <c r="A23" s="15"/>
      <c r="B23" s="41"/>
      <c r="C23" s="7"/>
    </row>
    <row r="24" spans="1:3" s="2" customFormat="1" ht="15" customHeight="1" x14ac:dyDescent="0.3">
      <c r="A24" s="15"/>
      <c r="B24" s="41"/>
      <c r="C24" s="7"/>
    </row>
    <row r="25" spans="1:3" s="2" customFormat="1" ht="15" customHeight="1" x14ac:dyDescent="0.3">
      <c r="A25" s="15"/>
      <c r="B25" s="41"/>
      <c r="C25" s="7"/>
    </row>
    <row r="26" spans="1:3" s="2" customFormat="1" ht="15" customHeight="1" x14ac:dyDescent="0.3">
      <c r="A26" s="15"/>
      <c r="B26" s="41"/>
      <c r="C26" s="7"/>
    </row>
    <row r="27" spans="1:3" x14ac:dyDescent="0.3">
      <c r="A27" s="15"/>
      <c r="B27" s="40"/>
    </row>
    <row r="28" spans="1:3" x14ac:dyDescent="0.3">
      <c r="A28" s="15"/>
      <c r="B28" s="40"/>
    </row>
    <row r="29" spans="1:3" ht="15" customHeight="1" x14ac:dyDescent="0.3">
      <c r="A29" s="15"/>
      <c r="B29" s="40"/>
      <c r="C29" s="7" t="s">
        <v>96</v>
      </c>
    </row>
    <row r="30" spans="1:3" ht="15" customHeight="1" x14ac:dyDescent="0.3">
      <c r="A30" s="15"/>
      <c r="B30" s="40"/>
      <c r="C30" s="7" t="s">
        <v>97</v>
      </c>
    </row>
    <row r="31" spans="1:3" ht="15" customHeight="1" x14ac:dyDescent="0.3">
      <c r="A31" s="15"/>
      <c r="B31" s="40"/>
      <c r="C31" s="7" t="s">
        <v>98</v>
      </c>
    </row>
    <row r="32" spans="1:3" ht="15" customHeight="1" x14ac:dyDescent="0.3">
      <c r="A32" s="15"/>
      <c r="B32" s="40"/>
      <c r="C32" s="7" t="s">
        <v>99</v>
      </c>
    </row>
    <row r="33" spans="1:9" ht="15" customHeight="1" x14ac:dyDescent="0.3">
      <c r="A33" s="15"/>
      <c r="B33" s="40"/>
      <c r="C33" s="7" t="s">
        <v>100</v>
      </c>
      <c r="D33" s="40"/>
      <c r="E33" s="40"/>
      <c r="F33" s="41"/>
      <c r="G33" s="40"/>
      <c r="H33" s="40"/>
      <c r="I33" s="40"/>
    </row>
    <row r="34" spans="1:9" ht="15" customHeight="1" x14ac:dyDescent="0.3">
      <c r="A34" s="15"/>
      <c r="B34" s="40"/>
      <c r="C34" s="7" t="s">
        <v>101</v>
      </c>
      <c r="D34" s="40"/>
      <c r="E34" s="40"/>
      <c r="F34" s="41"/>
      <c r="G34" s="40"/>
      <c r="H34" s="40"/>
      <c r="I34" s="40"/>
    </row>
    <row r="35" spans="1:9" ht="15" customHeight="1" x14ac:dyDescent="0.3">
      <c r="A35" s="15"/>
      <c r="B35" s="40"/>
      <c r="C35" s="7" t="s">
        <v>102</v>
      </c>
      <c r="D35" s="40"/>
      <c r="E35" s="40"/>
      <c r="F35" s="41"/>
      <c r="G35" s="40"/>
      <c r="H35" s="40"/>
      <c r="I35" s="40"/>
    </row>
    <row r="36" spans="1:9" x14ac:dyDescent="0.3">
      <c r="A36" s="15"/>
      <c r="B36" s="40"/>
      <c r="D36" s="40"/>
      <c r="E36" s="40"/>
      <c r="F36" s="41"/>
      <c r="G36" s="40"/>
      <c r="H36" s="40"/>
      <c r="I36" s="40"/>
    </row>
    <row r="41" spans="1:9" ht="15" customHeight="1" x14ac:dyDescent="0.3">
      <c r="B41" s="40"/>
      <c r="C41" s="7" t="s">
        <v>24</v>
      </c>
      <c r="D41" s="40"/>
      <c r="E41" s="40"/>
      <c r="F41" s="41"/>
      <c r="G41" s="40"/>
      <c r="H41" s="40"/>
      <c r="I41" s="40"/>
    </row>
    <row r="42" spans="1:9" ht="15" customHeight="1" x14ac:dyDescent="0.3">
      <c r="B42" s="40"/>
      <c r="C42" s="7" t="s">
        <v>50</v>
      </c>
      <c r="D42" s="40"/>
      <c r="E42" s="40"/>
      <c r="F42" s="41"/>
      <c r="G42" s="40"/>
      <c r="H42" s="40"/>
      <c r="I42" s="40"/>
    </row>
    <row r="43" spans="1:9" ht="15" customHeight="1" x14ac:dyDescent="0.3">
      <c r="B43" s="40"/>
      <c r="C43" s="7" t="s">
        <v>103</v>
      </c>
      <c r="D43" s="40"/>
      <c r="E43" s="40"/>
      <c r="F43" s="41"/>
      <c r="G43" s="40"/>
      <c r="H43" s="40"/>
      <c r="I43" s="40"/>
    </row>
    <row r="44" spans="1:9" ht="15" customHeight="1" x14ac:dyDescent="0.3">
      <c r="B44" s="40"/>
      <c r="C44" s="7" t="s">
        <v>104</v>
      </c>
      <c r="D44" s="40"/>
      <c r="E44" s="40"/>
      <c r="F44" s="41"/>
      <c r="G44" s="40"/>
      <c r="H44" s="40"/>
      <c r="I44" s="40"/>
    </row>
    <row r="45" spans="1:9" ht="15" customHeight="1" x14ac:dyDescent="0.3">
      <c r="B45" s="40"/>
      <c r="C45" s="7" t="s">
        <v>29</v>
      </c>
      <c r="D45" s="40"/>
      <c r="E45" s="40"/>
      <c r="F45" s="41"/>
      <c r="G45" s="40"/>
      <c r="H45" s="40"/>
      <c r="I45" s="40"/>
    </row>
    <row r="46" spans="1:9" ht="15" customHeight="1" x14ac:dyDescent="0.3">
      <c r="B46" s="40"/>
      <c r="C46" s="7" t="s">
        <v>54</v>
      </c>
      <c r="D46" s="40"/>
      <c r="E46" s="40"/>
      <c r="F46" s="41"/>
      <c r="G46" s="40"/>
      <c r="H46" s="40"/>
      <c r="I46" s="40"/>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for an overview of Free Excel training online from the web" xr:uid="{00000000-0004-0000-0300-000003000000}"/>
  </hyperlinks>
  <pageMargins left="0.7" right="0.7" top="0.75" bottom="0.75" header="0.3" footer="0.3"/>
  <pageSetup paperSize="9" orientation="landscape"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heetViews>
  <sheetFormatPr baseColWidth="10" defaultColWidth="8.88671875" defaultRowHeight="14.4" x14ac:dyDescent="0.3"/>
  <cols>
    <col min="1" max="1" width="12.6640625" style="16" customWidth="1"/>
    <col min="2" max="2" width="82.88671875" style="1" customWidth="1"/>
    <col min="3" max="3" width="13.33203125" style="1" customWidth="1"/>
    <col min="4" max="4" width="13.33203125" style="2" customWidth="1"/>
    <col min="5" max="5" width="2.33203125" style="1" customWidth="1"/>
    <col min="6" max="7" width="13.33203125" style="1" customWidth="1"/>
    <col min="8" max="16384" width="8.88671875" style="1"/>
  </cols>
  <sheetData>
    <row r="1" spans="1:8" ht="60" customHeight="1" x14ac:dyDescent="0.3">
      <c r="A1" s="16" t="s">
        <v>105</v>
      </c>
      <c r="B1" s="40"/>
      <c r="C1" s="72"/>
      <c r="D1" s="84"/>
      <c r="E1" s="84"/>
      <c r="F1" s="84"/>
      <c r="G1" s="84"/>
      <c r="H1" s="40"/>
    </row>
    <row r="2" spans="1:8" ht="15" customHeight="1" x14ac:dyDescent="0.3">
      <c r="A2" s="14" t="s">
        <v>106</v>
      </c>
      <c r="B2" s="40"/>
      <c r="C2" s="5" t="s">
        <v>55</v>
      </c>
      <c r="D2" s="6" t="s">
        <v>71</v>
      </c>
      <c r="E2" s="42"/>
      <c r="F2" s="9" t="s">
        <v>73</v>
      </c>
      <c r="G2" s="6" t="s">
        <v>71</v>
      </c>
      <c r="H2" s="3"/>
    </row>
    <row r="3" spans="1:8" ht="15" customHeight="1" x14ac:dyDescent="0.3">
      <c r="A3" s="14" t="s">
        <v>107</v>
      </c>
      <c r="B3" s="40"/>
      <c r="C3" s="109" t="s">
        <v>56</v>
      </c>
      <c r="D3" s="110">
        <v>50</v>
      </c>
      <c r="E3" s="42"/>
      <c r="F3" s="111" t="s">
        <v>74</v>
      </c>
      <c r="G3" s="110">
        <v>50</v>
      </c>
      <c r="H3" s="3"/>
    </row>
    <row r="4" spans="1:8" ht="15" customHeight="1" x14ac:dyDescent="0.3">
      <c r="A4" s="92" t="s">
        <v>108</v>
      </c>
      <c r="B4" s="40"/>
      <c r="C4" s="109" t="s">
        <v>57</v>
      </c>
      <c r="D4" s="110">
        <v>20</v>
      </c>
      <c r="E4" s="42"/>
      <c r="F4" s="111" t="s">
        <v>75</v>
      </c>
      <c r="G4" s="110">
        <v>30</v>
      </c>
      <c r="H4" s="3"/>
    </row>
    <row r="5" spans="1:8" s="2" customFormat="1" ht="15" customHeight="1" x14ac:dyDescent="0.3">
      <c r="A5" s="92" t="s">
        <v>109</v>
      </c>
      <c r="B5" s="41"/>
      <c r="C5" s="109" t="s">
        <v>58</v>
      </c>
      <c r="D5" s="110">
        <v>60</v>
      </c>
      <c r="E5" s="42"/>
      <c r="F5" s="111" t="s">
        <v>76</v>
      </c>
      <c r="G5" s="110">
        <v>10</v>
      </c>
      <c r="H5" s="3"/>
    </row>
    <row r="6" spans="1:8" s="2" customFormat="1" ht="15" customHeight="1" x14ac:dyDescent="0.3">
      <c r="A6" s="92" t="s">
        <v>307</v>
      </c>
      <c r="B6" s="41"/>
      <c r="C6" s="109" t="s">
        <v>59</v>
      </c>
      <c r="D6" s="110">
        <v>40</v>
      </c>
      <c r="E6" s="42"/>
      <c r="F6" s="111" t="s">
        <v>77</v>
      </c>
      <c r="G6" s="110">
        <v>50</v>
      </c>
      <c r="H6" s="3"/>
    </row>
    <row r="7" spans="1:8" s="2" customFormat="1" ht="15" customHeight="1" x14ac:dyDescent="0.3">
      <c r="A7" s="93" t="s">
        <v>110</v>
      </c>
      <c r="B7" s="41"/>
      <c r="C7" s="8" t="s">
        <v>117</v>
      </c>
      <c r="D7" s="108"/>
      <c r="E7" s="42"/>
      <c r="F7" s="8" t="s">
        <v>119</v>
      </c>
      <c r="G7" s="108"/>
      <c r="H7" s="3"/>
    </row>
    <row r="8" spans="1:8" s="2" customFormat="1" ht="15" customHeight="1" x14ac:dyDescent="0.3">
      <c r="A8" s="15" t="s">
        <v>111</v>
      </c>
      <c r="B8" s="41"/>
      <c r="C8" s="41"/>
      <c r="D8" s="42"/>
      <c r="E8" s="42"/>
      <c r="F8" s="41"/>
      <c r="G8" s="42"/>
      <c r="H8" s="3"/>
    </row>
    <row r="9" spans="1:8" s="2" customFormat="1" ht="15" customHeight="1" x14ac:dyDescent="0.3">
      <c r="A9" s="15" t="s">
        <v>112</v>
      </c>
      <c r="B9" s="41"/>
      <c r="C9" s="5" t="s">
        <v>61</v>
      </c>
      <c r="D9" s="6" t="s">
        <v>71</v>
      </c>
      <c r="E9" s="42"/>
      <c r="F9" s="9" t="s">
        <v>61</v>
      </c>
      <c r="G9" s="6" t="s">
        <v>71</v>
      </c>
      <c r="H9" s="3"/>
    </row>
    <row r="10" spans="1:8" s="2" customFormat="1" ht="15" customHeight="1" x14ac:dyDescent="0.3">
      <c r="A10" s="14" t="s">
        <v>29</v>
      </c>
      <c r="B10" s="41"/>
      <c r="C10" s="109" t="s">
        <v>62</v>
      </c>
      <c r="D10" s="110">
        <v>50</v>
      </c>
      <c r="E10" s="42"/>
      <c r="F10" s="111" t="s">
        <v>62</v>
      </c>
      <c r="G10" s="110">
        <v>50</v>
      </c>
      <c r="H10" s="3"/>
    </row>
    <row r="11" spans="1:8" s="2" customFormat="1" ht="15" customHeight="1" x14ac:dyDescent="0.3">
      <c r="A11" s="93" t="s">
        <v>113</v>
      </c>
      <c r="B11" s="41"/>
      <c r="C11" s="109" t="s">
        <v>63</v>
      </c>
      <c r="D11" s="110">
        <v>100</v>
      </c>
      <c r="E11" s="42"/>
      <c r="F11" s="111" t="s">
        <v>63</v>
      </c>
      <c r="G11" s="110">
        <v>100</v>
      </c>
      <c r="H11" s="3"/>
    </row>
    <row r="12" spans="1:8" s="2" customFormat="1" ht="15" customHeight="1" x14ac:dyDescent="0.3">
      <c r="A12" s="15"/>
      <c r="B12" s="41"/>
      <c r="C12" s="109" t="s">
        <v>64</v>
      </c>
      <c r="D12" s="110">
        <v>40</v>
      </c>
      <c r="E12" s="42"/>
      <c r="F12" s="111" t="s">
        <v>64</v>
      </c>
      <c r="G12" s="110">
        <v>40</v>
      </c>
      <c r="H12" s="3"/>
    </row>
    <row r="13" spans="1:8" s="2" customFormat="1" ht="15" customHeight="1" x14ac:dyDescent="0.3">
      <c r="A13" s="15"/>
      <c r="B13" s="41"/>
      <c r="C13" s="109" t="s">
        <v>65</v>
      </c>
      <c r="D13" s="110">
        <v>50</v>
      </c>
      <c r="E13" s="42"/>
      <c r="F13" s="111" t="s">
        <v>65</v>
      </c>
      <c r="G13" s="110">
        <v>50</v>
      </c>
      <c r="H13" s="3"/>
    </row>
    <row r="14" spans="1:8" s="2" customFormat="1" ht="15" customHeight="1" x14ac:dyDescent="0.3">
      <c r="A14" s="15"/>
      <c r="B14" s="41"/>
      <c r="C14" s="109" t="s">
        <v>66</v>
      </c>
      <c r="D14" s="110">
        <v>20</v>
      </c>
      <c r="E14" s="42"/>
      <c r="F14" s="111" t="s">
        <v>66</v>
      </c>
      <c r="G14" s="110">
        <v>20</v>
      </c>
      <c r="H14" s="41"/>
    </row>
    <row r="15" spans="1:8" s="2" customFormat="1" ht="15" customHeight="1" x14ac:dyDescent="0.3">
      <c r="A15" s="16"/>
      <c r="B15" s="41"/>
      <c r="C15" s="8" t="s">
        <v>118</v>
      </c>
      <c r="D15" s="108"/>
      <c r="E15" s="42"/>
      <c r="F15" s="8"/>
      <c r="G15" s="108">
        <f>MIN(G10:G14,10)</f>
        <v>10</v>
      </c>
      <c r="H15" s="41"/>
    </row>
    <row r="16" spans="1:8" s="2" customFormat="1" ht="15" customHeight="1" x14ac:dyDescent="0.3">
      <c r="A16" s="16"/>
      <c r="B16" s="41"/>
      <c r="C16" s="41"/>
      <c r="D16" s="41"/>
      <c r="E16" s="41"/>
      <c r="F16" s="41"/>
      <c r="G16" s="41"/>
      <c r="H16" s="41"/>
    </row>
    <row r="17" spans="1:1" s="2" customFormat="1" ht="15" customHeight="1" x14ac:dyDescent="0.3">
      <c r="A17" s="16"/>
    </row>
    <row r="18" spans="1:1" s="2" customFormat="1" ht="15" customHeight="1" x14ac:dyDescent="0.3">
      <c r="A18" s="17"/>
    </row>
    <row r="19" spans="1:1" s="2" customFormat="1" ht="15" customHeight="1" x14ac:dyDescent="0.3">
      <c r="A19" s="14" t="s">
        <v>114</v>
      </c>
    </row>
    <row r="20" spans="1:1" s="2" customFormat="1" ht="15" customHeight="1" x14ac:dyDescent="0.3">
      <c r="A20" s="16"/>
    </row>
    <row r="21" spans="1:1" s="2" customFormat="1" ht="15" customHeight="1" x14ac:dyDescent="0.3">
      <c r="A21" s="14" t="s">
        <v>24</v>
      </c>
    </row>
    <row r="22" spans="1:1" s="2" customFormat="1" ht="15" customHeight="1" x14ac:dyDescent="0.3">
      <c r="A22" s="14" t="s">
        <v>115</v>
      </c>
    </row>
    <row r="23" spans="1:1" s="2" customFormat="1" ht="15" customHeight="1" x14ac:dyDescent="0.3">
      <c r="A23" s="14" t="s">
        <v>116</v>
      </c>
    </row>
    <row r="24" spans="1:1" s="2" customFormat="1" ht="15" customHeight="1" x14ac:dyDescent="0.3">
      <c r="A24" s="14" t="s">
        <v>104</v>
      </c>
    </row>
    <row r="25" spans="1:1" s="2" customFormat="1" ht="15" customHeight="1" x14ac:dyDescent="0.3">
      <c r="A25" s="14" t="s">
        <v>29</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0"/>
      <c r="D33" s="41"/>
      <c r="E33" s="40"/>
      <c r="F33" s="40"/>
      <c r="G33" s="40"/>
    </row>
    <row r="39" spans="3:7" ht="15" customHeight="1" x14ac:dyDescent="0.3">
      <c r="C39" s="40"/>
      <c r="D39" s="41"/>
      <c r="E39" s="40"/>
      <c r="F39" s="40"/>
      <c r="G39" s="40"/>
    </row>
    <row r="40" spans="3:7" ht="15" customHeight="1" x14ac:dyDescent="0.3">
      <c r="C40" s="40"/>
      <c r="D40" s="41"/>
      <c r="E40" s="40"/>
      <c r="F40" s="40"/>
      <c r="G40" s="40"/>
    </row>
    <row r="41" spans="3:7" ht="15" customHeight="1" x14ac:dyDescent="0.3">
      <c r="C41" s="40"/>
      <c r="D41" s="41"/>
      <c r="E41" s="40"/>
      <c r="F41" s="40"/>
      <c r="G41" s="40"/>
    </row>
    <row r="42" spans="3:7" ht="15" customHeight="1" x14ac:dyDescent="0.3">
      <c r="C42" s="40"/>
      <c r="D42" s="41"/>
      <c r="E42" s="40"/>
      <c r="F42" s="40"/>
      <c r="G42" s="40"/>
    </row>
    <row r="43" spans="3:7" ht="15" customHeight="1" x14ac:dyDescent="0.3">
      <c r="C43" s="40"/>
      <c r="D43" s="41"/>
      <c r="E43" s="40"/>
      <c r="F43" s="40"/>
      <c r="G43" s="40"/>
    </row>
    <row r="44" spans="3:7" ht="15" customHeight="1" x14ac:dyDescent="0.3">
      <c r="C44" s="40"/>
      <c r="D44" s="41"/>
      <c r="E44" s="40"/>
      <c r="F44" s="40"/>
      <c r="G44" s="40"/>
    </row>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zoomScaleNormal="100" workbookViewId="0"/>
  </sheetViews>
  <sheetFormatPr baseColWidth="10" defaultColWidth="8.88671875" defaultRowHeight="14.4" x14ac:dyDescent="0.3"/>
  <cols>
    <col min="1" max="1" width="12.6640625" customWidth="1"/>
    <col min="2" max="2" width="82.88671875" customWidth="1"/>
    <col min="3" max="3" width="23" bestFit="1" customWidth="1"/>
    <col min="4" max="4" width="15.109375" customWidth="1"/>
  </cols>
  <sheetData>
    <row r="1" spans="1:6" ht="60" customHeight="1" x14ac:dyDescent="0.3">
      <c r="A1" s="27" t="s">
        <v>120</v>
      </c>
    </row>
    <row r="2" spans="1:6" x14ac:dyDescent="0.3">
      <c r="A2" s="27" t="s">
        <v>121</v>
      </c>
    </row>
    <row r="3" spans="1:6" ht="32.4" x14ac:dyDescent="0.3">
      <c r="A3" s="27" t="s">
        <v>122</v>
      </c>
      <c r="C3" s="72"/>
      <c r="D3" s="85"/>
    </row>
    <row r="4" spans="1:6" x14ac:dyDescent="0.3">
      <c r="A4" s="27" t="s">
        <v>123</v>
      </c>
    </row>
    <row r="5" spans="1:6" x14ac:dyDescent="0.3">
      <c r="A5" s="27" t="s">
        <v>124</v>
      </c>
      <c r="C5" s="30" t="s">
        <v>120</v>
      </c>
      <c r="D5" s="30"/>
    </row>
    <row r="6" spans="1:6" ht="16.5" customHeight="1" x14ac:dyDescent="0.4">
      <c r="A6" s="27" t="s">
        <v>125</v>
      </c>
      <c r="C6" s="102" t="s">
        <v>133</v>
      </c>
      <c r="D6" s="121"/>
      <c r="F6" s="94" t="str">
        <f ca="1">IF(D6=TODAY(),"That’s right!","")</f>
        <v/>
      </c>
    </row>
    <row r="7" spans="1:6" ht="16.5" customHeight="1" thickBot="1" x14ac:dyDescent="0.35">
      <c r="A7" s="29" t="s">
        <v>126</v>
      </c>
      <c r="C7" s="102" t="s">
        <v>134</v>
      </c>
      <c r="D7" s="121"/>
    </row>
    <row r="8" spans="1:6" ht="16.5" customHeight="1" thickTop="1" thickBot="1" x14ac:dyDescent="0.35">
      <c r="A8" s="27" t="s">
        <v>127</v>
      </c>
      <c r="C8" s="102" t="s">
        <v>135</v>
      </c>
      <c r="D8" s="112">
        <f>D7-D6</f>
        <v>0</v>
      </c>
    </row>
    <row r="9" spans="1:6" ht="15" thickTop="1" x14ac:dyDescent="0.3">
      <c r="A9" s="27" t="s">
        <v>128</v>
      </c>
    </row>
    <row r="10" spans="1:6" ht="15" customHeight="1" thickBot="1" x14ac:dyDescent="0.35">
      <c r="A10" s="29" t="s">
        <v>306</v>
      </c>
      <c r="C10" s="102" t="s">
        <v>136</v>
      </c>
      <c r="D10" s="113"/>
    </row>
    <row r="11" spans="1:6" ht="15" customHeight="1" thickTop="1" thickBot="1" x14ac:dyDescent="0.35">
      <c r="A11" s="29" t="s">
        <v>310</v>
      </c>
      <c r="C11" s="102" t="s">
        <v>137</v>
      </c>
      <c r="D11" s="122">
        <f>D6+D10</f>
        <v>0</v>
      </c>
    </row>
    <row r="12" spans="1:6" ht="15" thickTop="1" x14ac:dyDescent="0.3">
      <c r="A12" s="27" t="s">
        <v>129</v>
      </c>
    </row>
    <row r="13" spans="1:6" x14ac:dyDescent="0.3">
      <c r="A13" s="27" t="s">
        <v>22</v>
      </c>
    </row>
    <row r="14" spans="1:6" x14ac:dyDescent="0.3">
      <c r="A14" s="27" t="s">
        <v>23</v>
      </c>
    </row>
    <row r="15" spans="1:6" x14ac:dyDescent="0.3">
      <c r="A15" s="27" t="s">
        <v>24</v>
      </c>
    </row>
    <row r="16" spans="1:6" x14ac:dyDescent="0.3">
      <c r="A16" s="27" t="s">
        <v>130</v>
      </c>
    </row>
    <row r="17" spans="1:4" x14ac:dyDescent="0.3">
      <c r="A17" s="27" t="s">
        <v>131</v>
      </c>
    </row>
    <row r="18" spans="1:4" x14ac:dyDescent="0.3">
      <c r="A18" s="27" t="s">
        <v>132</v>
      </c>
    </row>
    <row r="19" spans="1:4" x14ac:dyDescent="0.3">
      <c r="A19" s="27" t="s">
        <v>29</v>
      </c>
    </row>
    <row r="25" spans="1:4" ht="15" customHeight="1" x14ac:dyDescent="0.3">
      <c r="C25" s="72"/>
      <c r="D25" s="85"/>
    </row>
    <row r="27" spans="1:4" x14ac:dyDescent="0.3">
      <c r="C27" s="30" t="s">
        <v>127</v>
      </c>
      <c r="D27" s="30"/>
    </row>
    <row r="28" spans="1:4" x14ac:dyDescent="0.3">
      <c r="C28" s="102" t="s">
        <v>138</v>
      </c>
      <c r="D28" s="117"/>
    </row>
    <row r="31" spans="1:4" x14ac:dyDescent="0.3">
      <c r="C31" s="30" t="s">
        <v>139</v>
      </c>
      <c r="D31" s="30"/>
    </row>
    <row r="32" spans="1:4" x14ac:dyDescent="0.3">
      <c r="C32" s="102" t="s">
        <v>140</v>
      </c>
      <c r="D32" s="114">
        <v>0.33333333333333331</v>
      </c>
    </row>
    <row r="33" spans="3:4" x14ac:dyDescent="0.3">
      <c r="C33" s="102" t="s">
        <v>141</v>
      </c>
      <c r="D33" s="114">
        <v>0.5</v>
      </c>
    </row>
    <row r="34" spans="3:4" x14ac:dyDescent="0.3">
      <c r="C34" s="102" t="s">
        <v>142</v>
      </c>
      <c r="D34" s="114">
        <v>0.54166666666666663</v>
      </c>
    </row>
    <row r="35" spans="3:4" ht="15" thickBot="1" x14ac:dyDescent="0.35">
      <c r="C35" s="102" t="s">
        <v>143</v>
      </c>
      <c r="D35" s="114">
        <v>0.70833333333333337</v>
      </c>
    </row>
    <row r="36" spans="3:4" ht="15.6" thickTop="1" thickBot="1" x14ac:dyDescent="0.35">
      <c r="C36" s="102" t="s">
        <v>144</v>
      </c>
      <c r="D36" s="112">
        <f>((D35-D32)-(D34-D33))*24</f>
        <v>8.0000000000000018</v>
      </c>
    </row>
    <row r="37" spans="3:4" ht="15" thickTop="1" x14ac:dyDescent="0.3"/>
    <row r="45" spans="3:4" x14ac:dyDescent="0.3">
      <c r="C45" s="30" t="s">
        <v>145</v>
      </c>
      <c r="D45" s="30"/>
    </row>
    <row r="46" spans="3:4" x14ac:dyDescent="0.3">
      <c r="C46" s="115" t="s">
        <v>146</v>
      </c>
      <c r="D46" s="123">
        <v>43005</v>
      </c>
    </row>
    <row r="47" spans="3:4" x14ac:dyDescent="0.3">
      <c r="C47" s="115" t="s">
        <v>147</v>
      </c>
      <c r="D47" s="116">
        <v>0.36944444444444446</v>
      </c>
    </row>
  </sheetData>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heetViews>
  <sheetFormatPr baseColWidth="10" defaultColWidth="8.88671875" defaultRowHeight="14.4" x14ac:dyDescent="0.3"/>
  <cols>
    <col min="1" max="1" width="12.6640625" style="27" customWidth="1"/>
    <col min="2" max="2" width="82.88671875" customWidth="1"/>
    <col min="3" max="3" width="16.33203125" customWidth="1"/>
    <col min="4" max="4" width="15" customWidth="1"/>
    <col min="5" max="5" width="21" bestFit="1" customWidth="1"/>
    <col min="6" max="6" width="18.33203125" customWidth="1"/>
  </cols>
  <sheetData>
    <row r="1" spans="1:6" ht="60" customHeight="1" x14ac:dyDescent="0.3">
      <c r="A1" s="27" t="s">
        <v>148</v>
      </c>
      <c r="C1" s="72"/>
      <c r="D1" s="85"/>
      <c r="E1" s="85"/>
      <c r="F1" s="85"/>
    </row>
    <row r="2" spans="1:6" x14ac:dyDescent="0.3">
      <c r="A2" s="27" t="s">
        <v>149</v>
      </c>
      <c r="C2" s="5" t="s">
        <v>158</v>
      </c>
      <c r="D2" s="5" t="s">
        <v>171</v>
      </c>
      <c r="E2" s="5" t="s">
        <v>180</v>
      </c>
      <c r="F2" s="5" t="s">
        <v>181</v>
      </c>
    </row>
    <row r="3" spans="1:6" x14ac:dyDescent="0.3">
      <c r="A3" s="27" t="s">
        <v>150</v>
      </c>
      <c r="C3" s="102" t="s">
        <v>159</v>
      </c>
      <c r="D3" s="102" t="s">
        <v>172</v>
      </c>
      <c r="E3" s="113" t="str">
        <f>D3&amp;", "&amp;C3</f>
        <v>Smith, Nancy</v>
      </c>
      <c r="F3" s="58" t="str">
        <f>C3&amp;" "&amp;D3</f>
        <v>Nancy Smith</v>
      </c>
    </row>
    <row r="4" spans="1:6" x14ac:dyDescent="0.3">
      <c r="A4" s="27" t="s">
        <v>151</v>
      </c>
      <c r="C4" s="102" t="s">
        <v>160</v>
      </c>
      <c r="D4" s="102" t="s">
        <v>173</v>
      </c>
      <c r="E4" s="113"/>
      <c r="F4" s="58"/>
    </row>
    <row r="5" spans="1:6" x14ac:dyDescent="0.3">
      <c r="A5" s="27" t="s">
        <v>152</v>
      </c>
      <c r="C5" s="102" t="s">
        <v>161</v>
      </c>
      <c r="D5" s="102" t="s">
        <v>174</v>
      </c>
      <c r="E5" s="113"/>
      <c r="F5" s="58"/>
    </row>
    <row r="6" spans="1:6" x14ac:dyDescent="0.3">
      <c r="A6" s="27" t="s">
        <v>11</v>
      </c>
      <c r="C6" s="102" t="s">
        <v>162</v>
      </c>
      <c r="D6" s="102" t="s">
        <v>175</v>
      </c>
      <c r="E6" s="113"/>
      <c r="F6" s="58"/>
    </row>
    <row r="7" spans="1:6" x14ac:dyDescent="0.3">
      <c r="A7" s="27" t="s">
        <v>23</v>
      </c>
      <c r="C7" s="102" t="s">
        <v>163</v>
      </c>
      <c r="D7" s="102" t="s">
        <v>176</v>
      </c>
      <c r="E7" s="113"/>
      <c r="F7" s="58"/>
    </row>
    <row r="8" spans="1:6" x14ac:dyDescent="0.3">
      <c r="A8" s="27" t="s">
        <v>153</v>
      </c>
      <c r="C8" s="102" t="s">
        <v>164</v>
      </c>
      <c r="D8" s="102" t="s">
        <v>177</v>
      </c>
      <c r="E8" s="113"/>
      <c r="F8" s="58"/>
    </row>
    <row r="9" spans="1:6" x14ac:dyDescent="0.3">
      <c r="A9" s="27" t="s">
        <v>154</v>
      </c>
      <c r="C9" s="102" t="s">
        <v>165</v>
      </c>
      <c r="D9" s="102" t="s">
        <v>178</v>
      </c>
      <c r="E9" s="113"/>
      <c r="F9" s="58"/>
    </row>
    <row r="10" spans="1:6" ht="15" customHeight="1" x14ac:dyDescent="0.3">
      <c r="A10" s="29" t="s">
        <v>313</v>
      </c>
      <c r="C10" s="102" t="s">
        <v>166</v>
      </c>
      <c r="D10" s="102" t="s">
        <v>179</v>
      </c>
      <c r="E10" s="113"/>
      <c r="F10" s="58"/>
    </row>
    <row r="11" spans="1:6" x14ac:dyDescent="0.3">
      <c r="A11" s="27" t="s">
        <v>155</v>
      </c>
    </row>
    <row r="12" spans="1:6" ht="15" customHeight="1" x14ac:dyDescent="0.3">
      <c r="A12" s="29" t="s">
        <v>315</v>
      </c>
    </row>
    <row r="13" spans="1:6" ht="15" customHeight="1" x14ac:dyDescent="0.3">
      <c r="A13" s="29" t="s">
        <v>311</v>
      </c>
    </row>
    <row r="14" spans="1:6" x14ac:dyDescent="0.3">
      <c r="A14" s="27" t="s">
        <v>24</v>
      </c>
    </row>
    <row r="15" spans="1:6" x14ac:dyDescent="0.3">
      <c r="A15" s="27" t="s">
        <v>156</v>
      </c>
    </row>
    <row r="16" spans="1:6" x14ac:dyDescent="0.3">
      <c r="A16" s="27" t="s">
        <v>157</v>
      </c>
    </row>
    <row r="17" spans="1:4" x14ac:dyDescent="0.3">
      <c r="A17" s="27" t="s">
        <v>29</v>
      </c>
    </row>
    <row r="21" spans="1:4" x14ac:dyDescent="0.3">
      <c r="D21" s="10"/>
    </row>
    <row r="27" spans="1:4" x14ac:dyDescent="0.3">
      <c r="C27" s="30" t="s">
        <v>167</v>
      </c>
      <c r="D27" s="30"/>
    </row>
    <row r="28" spans="1:4" x14ac:dyDescent="0.3">
      <c r="C28" s="102" t="s">
        <v>133</v>
      </c>
      <c r="D28" s="121">
        <f ca="1">TODAY()</f>
        <v>45175</v>
      </c>
    </row>
    <row r="29" spans="1:4" x14ac:dyDescent="0.3">
      <c r="C29" s="102" t="s">
        <v>168</v>
      </c>
      <c r="D29" s="117">
        <f ca="1">NOW()</f>
        <v>45175.410877662034</v>
      </c>
    </row>
    <row r="31" spans="1:4" x14ac:dyDescent="0.3">
      <c r="C31" s="30" t="s">
        <v>169</v>
      </c>
      <c r="D31" s="30"/>
    </row>
    <row r="32" spans="1:4" x14ac:dyDescent="0.3">
      <c r="C32" s="102" t="str">
        <f ca="1">C28&amp;" "&amp;D28</f>
        <v>Today’s date: 45175</v>
      </c>
      <c r="D32" s="102"/>
    </row>
    <row r="33" spans="3:4" x14ac:dyDescent="0.3">
      <c r="C33" s="102" t="str">
        <f ca="1">C29&amp;" "&amp;D29</f>
        <v>Current time: 45175.410877662</v>
      </c>
      <c r="D33" s="102"/>
    </row>
    <row r="35" spans="3:4" x14ac:dyDescent="0.3">
      <c r="C35" s="30" t="s">
        <v>170</v>
      </c>
      <c r="D35" s="30"/>
    </row>
    <row r="36" spans="3:4" x14ac:dyDescent="0.3">
      <c r="C36" s="58" t="str">
        <f ca="1">C28 &amp;" "&amp; TEXT(D28,"YYYY-MM-DD")</f>
        <v>Today’s date: 2023-09-06</v>
      </c>
      <c r="D36" s="58"/>
    </row>
    <row r="37" spans="3:4" x14ac:dyDescent="0.3">
      <c r="C37" s="58" t="str">
        <f ca="1">C29&amp;" "&amp;TEXT(D29,"HH:MM AM/PM")</f>
        <v>Current time: 09:51 AM</v>
      </c>
      <c r="D37" s="58"/>
    </row>
  </sheetData>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heetViews>
  <sheetFormatPr baseColWidth="10" defaultColWidth="8.88671875"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7" t="s">
        <v>182</v>
      </c>
      <c r="D1" s="85"/>
    </row>
    <row r="2" spans="1:6" x14ac:dyDescent="0.3">
      <c r="A2" s="27" t="s">
        <v>183</v>
      </c>
      <c r="E2" s="34"/>
      <c r="F2" s="34"/>
    </row>
    <row r="3" spans="1:6" ht="15" customHeight="1" x14ac:dyDescent="0.3">
      <c r="A3" s="29" t="s">
        <v>184</v>
      </c>
      <c r="E3" s="34"/>
      <c r="F3" s="34"/>
    </row>
    <row r="4" spans="1:6" ht="15" customHeight="1" x14ac:dyDescent="0.3">
      <c r="A4" s="29" t="s">
        <v>185</v>
      </c>
      <c r="E4" s="34"/>
      <c r="F4" s="34"/>
    </row>
    <row r="5" spans="1:6" ht="15" customHeight="1" x14ac:dyDescent="0.3">
      <c r="A5" s="29" t="s">
        <v>318</v>
      </c>
      <c r="C5" s="95"/>
      <c r="E5" s="34"/>
      <c r="F5" s="34"/>
    </row>
    <row r="6" spans="1:6" x14ac:dyDescent="0.3">
      <c r="A6" s="27" t="s">
        <v>186</v>
      </c>
      <c r="E6" s="34"/>
      <c r="F6" s="34"/>
    </row>
    <row r="7" spans="1:6" x14ac:dyDescent="0.3">
      <c r="A7" s="27" t="s">
        <v>11</v>
      </c>
      <c r="C7" s="34"/>
      <c r="D7" s="34"/>
      <c r="E7" s="34"/>
      <c r="F7" s="34"/>
    </row>
    <row r="8" spans="1:6" x14ac:dyDescent="0.3">
      <c r="A8" s="27" t="s">
        <v>23</v>
      </c>
      <c r="C8" s="33" t="s">
        <v>182</v>
      </c>
      <c r="D8" s="33"/>
    </row>
    <row r="9" spans="1:6" x14ac:dyDescent="0.3">
      <c r="A9" s="27" t="s">
        <v>187</v>
      </c>
      <c r="C9" s="118" t="s">
        <v>197</v>
      </c>
      <c r="D9" s="50"/>
    </row>
    <row r="10" spans="1:6" x14ac:dyDescent="0.3">
      <c r="A10" s="27" t="s">
        <v>188</v>
      </c>
      <c r="C10" s="118" t="s">
        <v>198</v>
      </c>
      <c r="D10" s="50"/>
    </row>
    <row r="11" spans="1:6" ht="15" customHeight="1" thickBot="1" x14ac:dyDescent="0.35">
      <c r="A11" s="29" t="s">
        <v>189</v>
      </c>
      <c r="C11" s="34"/>
      <c r="D11" s="34"/>
    </row>
    <row r="12" spans="1:6" ht="15" customHeight="1" thickTop="1" thickBot="1" x14ac:dyDescent="0.35">
      <c r="A12" s="29" t="s">
        <v>190</v>
      </c>
      <c r="C12" s="56">
        <v>50</v>
      </c>
      <c r="D12" s="50" t="str">
        <f>IF(C12&lt;100,"Less than 100","Greater than or equal to 100")</f>
        <v>Less than 100</v>
      </c>
    </row>
    <row r="13" spans="1:6" ht="15" customHeight="1" thickTop="1" x14ac:dyDescent="0.3">
      <c r="A13" s="29" t="s">
        <v>191</v>
      </c>
    </row>
    <row r="14" spans="1:6" x14ac:dyDescent="0.3">
      <c r="A14" s="27" t="s">
        <v>192</v>
      </c>
    </row>
    <row r="15" spans="1:6" ht="15" customHeight="1" x14ac:dyDescent="0.3">
      <c r="A15" s="29" t="s">
        <v>193</v>
      </c>
    </row>
    <row r="16" spans="1:6" x14ac:dyDescent="0.3">
      <c r="A16" s="27" t="s">
        <v>22</v>
      </c>
    </row>
    <row r="17" spans="1:6" x14ac:dyDescent="0.3">
      <c r="A17" s="27" t="s">
        <v>23</v>
      </c>
    </row>
    <row r="18" spans="1:6" x14ac:dyDescent="0.3">
      <c r="A18" s="27" t="s">
        <v>24</v>
      </c>
      <c r="C18" s="10"/>
    </row>
    <row r="19" spans="1:6" x14ac:dyDescent="0.3">
      <c r="A19" s="27" t="s">
        <v>194</v>
      </c>
    </row>
    <row r="20" spans="1:6" x14ac:dyDescent="0.3">
      <c r="A20" s="27" t="s">
        <v>195</v>
      </c>
    </row>
    <row r="21" spans="1:6" x14ac:dyDescent="0.3">
      <c r="A21" s="27" t="s">
        <v>196</v>
      </c>
    </row>
    <row r="22" spans="1:6" x14ac:dyDescent="0.3">
      <c r="A22" s="27" t="s">
        <v>29</v>
      </c>
    </row>
    <row r="26" spans="1:6" ht="15" thickBot="1" x14ac:dyDescent="0.35"/>
    <row r="27" spans="1:6" ht="15" thickBot="1" x14ac:dyDescent="0.35">
      <c r="C27" s="64" t="s">
        <v>61</v>
      </c>
      <c r="D27" s="65" t="s">
        <v>201</v>
      </c>
      <c r="E27" s="65" t="s">
        <v>206</v>
      </c>
      <c r="F27" s="65" t="s">
        <v>205</v>
      </c>
    </row>
    <row r="28" spans="1:6" x14ac:dyDescent="0.3">
      <c r="C28" s="66" t="s">
        <v>199</v>
      </c>
      <c r="D28" s="66">
        <v>2</v>
      </c>
      <c r="E28" s="125">
        <v>9.7607115856835538</v>
      </c>
      <c r="F28" s="125">
        <f>'IF statements'!$E$28:$E$29*'IF statements'!$D$28:$D$29</f>
        <v>19.521423171367108</v>
      </c>
    </row>
    <row r="29" spans="1:6" ht="15" thickBot="1" x14ac:dyDescent="0.35">
      <c r="C29" s="59" t="s">
        <v>200</v>
      </c>
      <c r="D29" s="59">
        <v>3</v>
      </c>
      <c r="E29" s="126">
        <v>3.4189202461080024</v>
      </c>
      <c r="F29" s="126">
        <f>'IF statements'!$E$28:$E$29*'IF statements'!$D$28:$D$29</f>
        <v>10.256760738324008</v>
      </c>
    </row>
    <row r="30" spans="1:6" x14ac:dyDescent="0.3">
      <c r="C30" s="34"/>
      <c r="D30" s="34"/>
      <c r="E30" s="34"/>
      <c r="F30" s="34"/>
    </row>
    <row r="31" spans="1:6" x14ac:dyDescent="0.3">
      <c r="C31" s="34"/>
      <c r="D31" s="34" t="s">
        <v>202</v>
      </c>
      <c r="E31" s="124">
        <f>SUM('IF statements'!$E$28:$E$29)</f>
        <v>13.179631831791557</v>
      </c>
      <c r="F31" s="124">
        <f>SUM('IF statements'!F28:F29)</f>
        <v>29.778183909691116</v>
      </c>
    </row>
    <row r="32" spans="1:6" ht="15" thickBot="1" x14ac:dyDescent="0.35">
      <c r="C32" s="34"/>
      <c r="D32" s="34"/>
      <c r="E32" s="34"/>
      <c r="F32" s="34"/>
    </row>
    <row r="33" spans="3:6" ht="15.6" thickTop="1" thickBot="1" x14ac:dyDescent="0.35">
      <c r="C33" s="34"/>
      <c r="D33" s="34" t="s">
        <v>203</v>
      </c>
      <c r="E33" s="56" t="s">
        <v>207</v>
      </c>
      <c r="F33" s="127">
        <f>IF(E33="Yes",F31*VAT,0)</f>
        <v>2.456700172549517</v>
      </c>
    </row>
    <row r="34" spans="3:6" ht="15.6" thickTop="1" thickBot="1" x14ac:dyDescent="0.35">
      <c r="C34" s="34"/>
      <c r="D34" s="34"/>
      <c r="E34" s="34"/>
      <c r="F34" s="34"/>
    </row>
    <row r="35" spans="3:6" ht="15.6" thickTop="1" thickBot="1" x14ac:dyDescent="0.35">
      <c r="C35" s="34"/>
      <c r="D35" s="34" t="s">
        <v>204</v>
      </c>
      <c r="E35" s="56" t="s">
        <v>207</v>
      </c>
      <c r="F35" s="127">
        <f>IF(E35="Yes",SUM(D28:D29)*1.25,0)</f>
        <v>6.25</v>
      </c>
    </row>
    <row r="36" spans="3:6" ht="15" thickTop="1" x14ac:dyDescent="0.3"/>
    <row r="37" spans="3:6" x14ac:dyDescent="0.3">
      <c r="D37" s="34" t="s">
        <v>205</v>
      </c>
      <c r="E37" s="34"/>
      <c r="F37" s="124">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heetViews>
  <sheetFormatPr baseColWidth="10" defaultColWidth="8.88671875" defaultRowHeight="15" customHeight="1" x14ac:dyDescent="0.3"/>
  <cols>
    <col min="1" max="1" width="12.6640625" style="7" customWidth="1"/>
    <col min="2" max="2" width="82.88671875" style="1" customWidth="1"/>
    <col min="3" max="3" width="13.33203125" style="1" customWidth="1"/>
    <col min="4" max="4" width="13.33203125" style="2" customWidth="1"/>
    <col min="5" max="5" width="2.33203125" style="1" customWidth="1"/>
    <col min="6" max="7" width="13.33203125" style="1" customWidth="1"/>
    <col min="8" max="16384" width="8.88671875" style="1"/>
  </cols>
  <sheetData>
    <row r="1" spans="1:7" ht="60" customHeight="1" x14ac:dyDescent="0.3">
      <c r="A1" s="7" t="s">
        <v>208</v>
      </c>
      <c r="B1" s="40"/>
      <c r="D1" s="84"/>
      <c r="E1" s="84"/>
      <c r="F1" s="84"/>
      <c r="G1" s="84"/>
    </row>
    <row r="2" spans="1:7" ht="15" customHeight="1" x14ac:dyDescent="0.3">
      <c r="A2" s="7" t="s">
        <v>209</v>
      </c>
      <c r="B2" s="40"/>
    </row>
    <row r="3" spans="1:7" ht="15" customHeight="1" x14ac:dyDescent="0.3">
      <c r="A3" s="7" t="s">
        <v>210</v>
      </c>
      <c r="B3" s="40"/>
    </row>
    <row r="4" spans="1:7" ht="15" customHeight="1" x14ac:dyDescent="0.3">
      <c r="A4" s="7" t="s">
        <v>211</v>
      </c>
      <c r="B4" s="40"/>
    </row>
    <row r="5" spans="1:7" s="2" customFormat="1" ht="15" customHeight="1" x14ac:dyDescent="0.3">
      <c r="A5" s="24" t="s">
        <v>212</v>
      </c>
      <c r="B5" s="41"/>
    </row>
    <row r="6" spans="1:7" s="2" customFormat="1" ht="15" customHeight="1" x14ac:dyDescent="0.3">
      <c r="A6" s="24" t="s">
        <v>213</v>
      </c>
      <c r="B6" s="41"/>
    </row>
    <row r="7" spans="1:7" s="2" customFormat="1" ht="15" customHeight="1" x14ac:dyDescent="0.3">
      <c r="A7" s="24" t="s">
        <v>214</v>
      </c>
      <c r="B7" s="41"/>
    </row>
    <row r="8" spans="1:7" s="2" customFormat="1" ht="15" customHeight="1" x14ac:dyDescent="0.3">
      <c r="A8" s="91" t="s">
        <v>215</v>
      </c>
      <c r="B8" s="41"/>
    </row>
    <row r="9" spans="1:7" s="2" customFormat="1" ht="15" customHeight="1" x14ac:dyDescent="0.3">
      <c r="A9" s="91" t="s">
        <v>216</v>
      </c>
      <c r="B9" s="41"/>
    </row>
    <row r="10" spans="1:7" s="2" customFormat="1" ht="15" customHeight="1" x14ac:dyDescent="0.3">
      <c r="A10" s="24" t="s">
        <v>217</v>
      </c>
      <c r="B10" s="41"/>
    </row>
    <row r="11" spans="1:7" s="2" customFormat="1" ht="15" customHeight="1" x14ac:dyDescent="0.3">
      <c r="A11" s="24" t="s">
        <v>11</v>
      </c>
      <c r="B11" s="41"/>
    </row>
    <row r="12" spans="1:7" s="2" customFormat="1" ht="15" customHeight="1" x14ac:dyDescent="0.3">
      <c r="A12" s="24" t="s">
        <v>23</v>
      </c>
      <c r="B12" s="41"/>
    </row>
    <row r="13" spans="1:7" s="2" customFormat="1" ht="15" customHeight="1" x14ac:dyDescent="0.3">
      <c r="A13" s="24" t="s">
        <v>218</v>
      </c>
      <c r="B13" s="41"/>
      <c r="C13" s="95"/>
      <c r="D13" s="98"/>
      <c r="E13" s="98"/>
      <c r="F13" s="98"/>
      <c r="G13" s="98"/>
    </row>
    <row r="14" spans="1:7" s="2" customFormat="1" ht="15" customHeight="1" x14ac:dyDescent="0.3">
      <c r="A14" s="24" t="s">
        <v>219</v>
      </c>
      <c r="B14" s="41"/>
      <c r="C14" s="98"/>
      <c r="D14" s="98"/>
      <c r="E14" s="98"/>
      <c r="F14" s="98"/>
      <c r="G14" s="98"/>
    </row>
    <row r="15" spans="1:7" s="2" customFormat="1" ht="15" customHeight="1" x14ac:dyDescent="0.3">
      <c r="A15" s="91" t="s">
        <v>220</v>
      </c>
      <c r="B15" s="41"/>
    </row>
    <row r="16" spans="1:7" s="2" customFormat="1" ht="15" customHeight="1" x14ac:dyDescent="0.3">
      <c r="A16" s="29" t="s">
        <v>221</v>
      </c>
      <c r="B16" s="41"/>
      <c r="C16" s="35" t="s">
        <v>55</v>
      </c>
      <c r="D16" s="32" t="s">
        <v>71</v>
      </c>
      <c r="E16" s="23"/>
      <c r="F16" s="31" t="s">
        <v>73</v>
      </c>
      <c r="G16" s="32" t="s">
        <v>71</v>
      </c>
    </row>
    <row r="17" spans="1:12" s="2" customFormat="1" ht="15" customHeight="1" x14ac:dyDescent="0.3">
      <c r="A17" s="24" t="s">
        <v>222</v>
      </c>
      <c r="C17" s="109" t="s">
        <v>56</v>
      </c>
      <c r="D17" s="110">
        <v>50</v>
      </c>
      <c r="E17" s="42"/>
      <c r="F17" s="111" t="s">
        <v>74</v>
      </c>
      <c r="G17" s="110">
        <v>50</v>
      </c>
      <c r="H17" s="41"/>
      <c r="I17" s="41"/>
      <c r="J17" s="41"/>
      <c r="K17" s="41"/>
      <c r="L17" s="41"/>
    </row>
    <row r="18" spans="1:12" s="2" customFormat="1" ht="15" customHeight="1" x14ac:dyDescent="0.3">
      <c r="A18" s="24" t="s">
        <v>22</v>
      </c>
      <c r="C18" s="109" t="s">
        <v>57</v>
      </c>
      <c r="D18" s="110">
        <v>20</v>
      </c>
      <c r="E18" s="42"/>
      <c r="F18" s="111" t="s">
        <v>75</v>
      </c>
      <c r="G18" s="110">
        <v>30</v>
      </c>
      <c r="H18" s="41"/>
      <c r="I18" s="41"/>
      <c r="J18" s="41"/>
      <c r="K18" s="41"/>
      <c r="L18" s="41"/>
    </row>
    <row r="19" spans="1:12" s="2" customFormat="1" ht="15" customHeight="1" x14ac:dyDescent="0.3">
      <c r="A19" s="24" t="s">
        <v>23</v>
      </c>
      <c r="C19" s="109" t="s">
        <v>58</v>
      </c>
      <c r="D19" s="110">
        <v>60</v>
      </c>
      <c r="E19" s="42"/>
      <c r="F19" s="111" t="s">
        <v>76</v>
      </c>
      <c r="G19" s="110">
        <v>10</v>
      </c>
      <c r="H19" s="41"/>
      <c r="I19" s="41"/>
      <c r="J19" s="41"/>
      <c r="K19" s="41"/>
      <c r="L19" s="41"/>
    </row>
    <row r="20" spans="1:12" s="2" customFormat="1" ht="15" customHeight="1" x14ac:dyDescent="0.3">
      <c r="A20" s="24" t="s">
        <v>24</v>
      </c>
      <c r="C20" s="109" t="s">
        <v>59</v>
      </c>
      <c r="D20" s="110">
        <v>40</v>
      </c>
      <c r="E20" s="42"/>
      <c r="F20" s="111" t="s">
        <v>77</v>
      </c>
      <c r="G20" s="110">
        <v>50</v>
      </c>
      <c r="H20" s="41"/>
      <c r="I20" s="41"/>
      <c r="J20" s="41"/>
      <c r="K20" s="41"/>
      <c r="L20" s="41"/>
    </row>
    <row r="21" spans="1:12" s="2" customFormat="1" ht="15" customHeight="1" thickBot="1" x14ac:dyDescent="0.35">
      <c r="A21" s="24" t="s">
        <v>223</v>
      </c>
      <c r="C21" s="41"/>
      <c r="D21" s="41"/>
      <c r="E21" s="41"/>
      <c r="F21" s="41"/>
      <c r="G21" s="41"/>
      <c r="H21" s="41"/>
      <c r="I21" s="41"/>
      <c r="J21" s="41"/>
      <c r="K21" s="41"/>
      <c r="L21" s="41"/>
    </row>
    <row r="22" spans="1:12" s="2" customFormat="1" ht="15" customHeight="1" thickTop="1" thickBot="1" x14ac:dyDescent="0.35">
      <c r="A22" s="24" t="s">
        <v>224</v>
      </c>
      <c r="C22" s="57" t="s">
        <v>56</v>
      </c>
      <c r="D22" s="45"/>
      <c r="E22" s="42"/>
      <c r="F22" s="57" t="s">
        <v>76</v>
      </c>
      <c r="G22" s="45"/>
      <c r="H22" s="41"/>
      <c r="I22" s="41"/>
      <c r="J22" s="41"/>
      <c r="K22" s="41"/>
      <c r="L22" s="41"/>
    </row>
    <row r="23" spans="1:12" s="2" customFormat="1" ht="15" customHeight="1" thickTop="1" x14ac:dyDescent="0.3">
      <c r="A23" s="24" t="s">
        <v>225</v>
      </c>
      <c r="C23" s="41"/>
      <c r="D23" s="42"/>
      <c r="E23" s="42"/>
      <c r="F23" s="41"/>
      <c r="G23" s="42"/>
      <c r="H23" s="41"/>
      <c r="I23" s="41"/>
      <c r="J23" s="41"/>
      <c r="K23" s="41"/>
      <c r="L23" s="41"/>
    </row>
    <row r="24" spans="1:12" s="2" customFormat="1" ht="15" customHeight="1" x14ac:dyDescent="0.3">
      <c r="A24" s="24" t="s">
        <v>226</v>
      </c>
      <c r="H24" s="41"/>
      <c r="I24" s="41"/>
      <c r="J24" s="41"/>
      <c r="K24" s="41"/>
      <c r="L24" s="41"/>
    </row>
    <row r="25" spans="1:12" s="2" customFormat="1" ht="15" customHeight="1" x14ac:dyDescent="0.3">
      <c r="A25" s="24" t="s">
        <v>29</v>
      </c>
      <c r="H25" s="41"/>
      <c r="I25" s="41"/>
      <c r="J25" s="41"/>
      <c r="K25" s="41"/>
      <c r="L25" s="41"/>
    </row>
    <row r="26" spans="1:12" ht="15" customHeight="1" x14ac:dyDescent="0.3">
      <c r="C26" s="2"/>
      <c r="E26" s="2"/>
      <c r="F26" s="2"/>
      <c r="G26" s="2"/>
      <c r="H26" s="40"/>
      <c r="I26" s="41"/>
      <c r="J26" s="41"/>
      <c r="K26" s="41"/>
      <c r="L26" s="41"/>
    </row>
    <row r="27" spans="1:12" ht="15" customHeight="1" x14ac:dyDescent="0.3">
      <c r="C27" s="2"/>
      <c r="E27" s="2"/>
      <c r="F27" s="2"/>
      <c r="G27" s="2"/>
      <c r="H27" s="40"/>
      <c r="I27" s="40"/>
      <c r="J27" s="40"/>
      <c r="K27" s="40"/>
      <c r="L27" s="40"/>
    </row>
    <row r="28" spans="1:12" ht="15" customHeight="1" x14ac:dyDescent="0.3">
      <c r="C28" s="2"/>
      <c r="E28" s="2"/>
      <c r="F28" s="2"/>
      <c r="G28" s="2"/>
      <c r="H28" s="40"/>
      <c r="I28" s="40"/>
      <c r="J28" s="40"/>
      <c r="K28" s="40"/>
      <c r="L28" s="40"/>
    </row>
    <row r="29" spans="1:12" ht="15" customHeight="1" x14ac:dyDescent="0.3">
      <c r="H29" s="40"/>
      <c r="I29" s="40"/>
      <c r="J29" s="40"/>
      <c r="K29" s="40"/>
      <c r="L29" s="40"/>
    </row>
    <row r="30" spans="1:12" ht="15" customHeight="1" x14ac:dyDescent="0.3">
      <c r="H30" s="40"/>
      <c r="I30" s="40"/>
      <c r="J30" s="40"/>
      <c r="K30" s="40"/>
      <c r="L30" s="40"/>
    </row>
    <row r="31" spans="1:12" ht="15" customHeight="1" x14ac:dyDescent="0.3">
      <c r="H31" s="40"/>
      <c r="I31" s="40"/>
      <c r="J31" s="40"/>
      <c r="K31" s="40"/>
      <c r="L31" s="40"/>
    </row>
    <row r="32" spans="1:12" ht="15" customHeight="1" x14ac:dyDescent="0.3">
      <c r="H32" s="40"/>
      <c r="I32" s="40"/>
      <c r="J32" s="40"/>
      <c r="K32" s="40"/>
      <c r="L32" s="40"/>
    </row>
    <row r="33" spans="2:7" ht="15" customHeight="1" x14ac:dyDescent="0.3">
      <c r="B33" s="40"/>
      <c r="C33" s="96"/>
      <c r="D33" s="97"/>
      <c r="E33" s="97"/>
      <c r="F33" s="97"/>
      <c r="G33" s="97"/>
    </row>
    <row r="34" spans="2:7" ht="15" customHeight="1" x14ac:dyDescent="0.3">
      <c r="B34" s="40"/>
      <c r="C34" s="97"/>
      <c r="D34" s="97"/>
      <c r="E34" s="97"/>
      <c r="F34" s="97"/>
      <c r="G34" s="97"/>
    </row>
    <row r="35" spans="2:7" ht="15" customHeight="1" x14ac:dyDescent="0.3">
      <c r="B35" s="40"/>
      <c r="C35" s="86" t="s">
        <v>100</v>
      </c>
      <c r="D35" s="84"/>
      <c r="E35" s="84"/>
      <c r="F35" s="84"/>
      <c r="G35" s="84"/>
    </row>
    <row r="36" spans="2:7" ht="15" customHeight="1" x14ac:dyDescent="0.3">
      <c r="B36" s="40"/>
      <c r="C36" s="35" t="s">
        <v>61</v>
      </c>
      <c r="D36" s="32" t="s">
        <v>71</v>
      </c>
      <c r="E36" s="23"/>
      <c r="F36" s="31" t="s">
        <v>61</v>
      </c>
      <c r="G36" s="32" t="s">
        <v>71</v>
      </c>
    </row>
    <row r="37" spans="2:7" ht="15" customHeight="1" x14ac:dyDescent="0.3">
      <c r="B37" s="40"/>
      <c r="C37" s="109" t="s">
        <v>62</v>
      </c>
      <c r="D37" s="110">
        <v>50</v>
      </c>
      <c r="E37" s="42"/>
      <c r="F37" s="111" t="s">
        <v>62</v>
      </c>
      <c r="G37" s="110">
        <v>50</v>
      </c>
    </row>
    <row r="38" spans="2:7" ht="15" customHeight="1" x14ac:dyDescent="0.3">
      <c r="B38" s="40"/>
      <c r="C38" s="109" t="s">
        <v>63</v>
      </c>
      <c r="D38" s="110">
        <v>100</v>
      </c>
      <c r="E38" s="42"/>
      <c r="F38" s="111" t="s">
        <v>63</v>
      </c>
      <c r="G38" s="110">
        <v>100</v>
      </c>
    </row>
    <row r="39" spans="2:7" ht="15" customHeight="1" x14ac:dyDescent="0.3">
      <c r="B39" s="40"/>
      <c r="C39" s="109" t="s">
        <v>64</v>
      </c>
      <c r="D39" s="110">
        <v>40</v>
      </c>
      <c r="E39" s="42"/>
      <c r="F39" s="111" t="s">
        <v>64</v>
      </c>
      <c r="G39" s="110">
        <v>40</v>
      </c>
    </row>
    <row r="40" spans="2:7" ht="15" customHeight="1" x14ac:dyDescent="0.3">
      <c r="C40" s="109" t="s">
        <v>65</v>
      </c>
      <c r="D40" s="110">
        <v>50</v>
      </c>
      <c r="E40" s="42"/>
      <c r="F40" s="111" t="s">
        <v>65</v>
      </c>
      <c r="G40" s="110">
        <v>50</v>
      </c>
    </row>
    <row r="41" spans="2:7" ht="15" customHeight="1" x14ac:dyDescent="0.3">
      <c r="C41" s="109" t="s">
        <v>66</v>
      </c>
      <c r="D41" s="110">
        <v>20</v>
      </c>
      <c r="E41" s="42"/>
      <c r="F41" s="111" t="s">
        <v>66</v>
      </c>
      <c r="G41" s="110">
        <v>20</v>
      </c>
    </row>
    <row r="42" spans="2:7" ht="15" customHeight="1" thickBot="1" x14ac:dyDescent="0.35">
      <c r="C42" s="41"/>
      <c r="D42" s="41"/>
      <c r="E42" s="41"/>
      <c r="F42" s="41"/>
      <c r="G42" s="41"/>
    </row>
    <row r="43" spans="2:7" ht="15" customHeight="1" thickTop="1" thickBot="1" x14ac:dyDescent="0.35">
      <c r="B43" s="40"/>
      <c r="C43" s="57"/>
      <c r="D43" s="45" t="e">
        <f>VLOOKUP(C43,C37:D41,2,FALSE)</f>
        <v>#N/A</v>
      </c>
      <c r="E43" s="42"/>
      <c r="F43" s="88" t="s">
        <v>227</v>
      </c>
      <c r="G43" s="45" t="str">
        <f>IFERROR(VLOOKUP(F43,F37:G41,2,FALSE),"")</f>
        <v/>
      </c>
    </row>
    <row r="44" spans="2:7" ht="15" customHeight="1" thickTop="1" x14ac:dyDescent="0.3">
      <c r="B44" s="40"/>
      <c r="C44" s="40"/>
      <c r="D44" s="41"/>
      <c r="E44" s="40"/>
      <c r="F44" s="40"/>
      <c r="G44" s="40"/>
    </row>
    <row r="45" spans="2:7" ht="15" customHeight="1" x14ac:dyDescent="0.3">
      <c r="B45" s="40"/>
      <c r="C45" s="40"/>
      <c r="D45" s="41"/>
      <c r="E45" s="40"/>
      <c r="F45" s="40"/>
      <c r="G45" s="40"/>
    </row>
    <row r="46" spans="2:7" ht="15" customHeight="1" x14ac:dyDescent="0.3">
      <c r="B46" s="40"/>
      <c r="C46" s="40"/>
      <c r="D46" s="41"/>
      <c r="E46" s="40"/>
      <c r="F46" s="40"/>
      <c r="G46" s="40"/>
    </row>
    <row r="47" spans="2:7" ht="15" customHeight="1" x14ac:dyDescent="0.3">
      <c r="B47" s="40"/>
      <c r="C47" s="40"/>
      <c r="D47" s="41"/>
      <c r="E47" s="40"/>
      <c r="F47" s="40"/>
      <c r="G47" s="40"/>
    </row>
    <row r="48" spans="2:7" ht="15" customHeight="1" x14ac:dyDescent="0.3">
      <c r="B48" s="40"/>
      <c r="C48" s="40"/>
      <c r="D48" s="41"/>
      <c r="E48" s="40"/>
      <c r="F48" s="40"/>
      <c r="G48" s="40"/>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heetViews>
  <sheetFormatPr baseColWidth="10" defaultColWidth="8.88671875" defaultRowHeight="14.4" x14ac:dyDescent="0.3"/>
  <cols>
    <col min="1" max="1" width="12.6640625" style="7" customWidth="1"/>
    <col min="2" max="2" width="82.88671875" style="22" customWidth="1"/>
    <col min="3" max="4" width="12.6640625" style="18" customWidth="1"/>
    <col min="5" max="5" width="8.44140625" style="18" bestFit="1" customWidth="1"/>
    <col min="6" max="8" width="12.6640625" style="18" customWidth="1"/>
    <col min="9" max="25" width="8.88671875" style="18"/>
    <col min="26" max="26" width="8.88671875" style="18" hidden="1" customWidth="1"/>
    <col min="27" max="27" width="2.33203125" style="18" hidden="1" customWidth="1"/>
    <col min="28" max="28" width="11" style="18" hidden="1" customWidth="1"/>
    <col min="29" max="29" width="2.33203125" style="18" hidden="1" customWidth="1"/>
    <col min="30" max="30" width="11" style="18" hidden="1" customWidth="1"/>
    <col min="31" max="31" width="2.33203125" style="18" hidden="1" customWidth="1"/>
    <col min="32" max="32" width="11" style="18" hidden="1" customWidth="1"/>
    <col min="33" max="33" width="2.33203125" style="18" hidden="1" customWidth="1"/>
    <col min="34" max="34" width="11" style="18" hidden="1" customWidth="1"/>
    <col min="35" max="16384" width="8.88671875" style="18"/>
  </cols>
  <sheetData>
    <row r="1" spans="1:34" ht="60" customHeight="1" x14ac:dyDescent="0.3">
      <c r="A1" s="27" t="s">
        <v>228</v>
      </c>
      <c r="B1" s="7"/>
      <c r="C1" s="72"/>
      <c r="D1" s="84"/>
      <c r="E1" s="84"/>
      <c r="F1" s="84"/>
      <c r="G1" s="84"/>
      <c r="H1" s="84"/>
      <c r="I1" s="40"/>
      <c r="J1" s="40"/>
      <c r="K1" s="40"/>
      <c r="L1" s="40"/>
      <c r="M1" s="40"/>
      <c r="N1" s="40"/>
      <c r="O1" s="40"/>
      <c r="P1" s="40"/>
      <c r="Q1" s="40"/>
      <c r="R1" s="40"/>
      <c r="S1" s="40"/>
      <c r="T1" s="40"/>
      <c r="U1" s="40"/>
      <c r="V1" s="40"/>
      <c r="W1" s="40"/>
      <c r="X1" s="40"/>
      <c r="Y1" s="40"/>
      <c r="Z1" s="40"/>
      <c r="AA1" s="40"/>
      <c r="AB1" s="40"/>
      <c r="AC1" s="40"/>
      <c r="AD1" s="40"/>
      <c r="AE1" s="40"/>
      <c r="AF1" s="40"/>
      <c r="AG1" s="40"/>
      <c r="AH1" s="40"/>
    </row>
    <row r="2" spans="1:34" ht="15" customHeight="1" x14ac:dyDescent="0.3">
      <c r="A2" s="27" t="s">
        <v>229</v>
      </c>
      <c r="B2" s="7"/>
      <c r="C2" s="5" t="s">
        <v>55</v>
      </c>
      <c r="D2" s="6" t="s">
        <v>71</v>
      </c>
      <c r="E2" s="42"/>
      <c r="F2" s="5" t="s">
        <v>55</v>
      </c>
      <c r="G2" s="5" t="s">
        <v>269</v>
      </c>
      <c r="H2" s="6" t="s">
        <v>71</v>
      </c>
      <c r="I2" s="40"/>
      <c r="J2" s="40"/>
      <c r="K2" s="40"/>
      <c r="L2" s="40"/>
      <c r="M2" s="40"/>
      <c r="N2" s="40"/>
      <c r="O2" s="40"/>
      <c r="P2" s="40"/>
      <c r="Q2" s="40"/>
      <c r="R2" s="40"/>
      <c r="S2" s="40"/>
      <c r="T2" s="40"/>
      <c r="U2" s="40"/>
      <c r="V2" s="40"/>
      <c r="W2" s="40"/>
      <c r="X2" s="40"/>
      <c r="Y2" s="40"/>
      <c r="Z2" s="5" t="s">
        <v>55</v>
      </c>
      <c r="AA2" s="40"/>
      <c r="AB2" s="5" t="s">
        <v>56</v>
      </c>
      <c r="AC2" s="40"/>
      <c r="AD2" s="5" t="s">
        <v>57</v>
      </c>
      <c r="AE2" s="40"/>
      <c r="AF2" s="5" t="s">
        <v>58</v>
      </c>
      <c r="AG2" s="40"/>
      <c r="AH2" s="5" t="s">
        <v>59</v>
      </c>
    </row>
    <row r="3" spans="1:34" ht="15" customHeight="1" x14ac:dyDescent="0.3">
      <c r="A3" s="27" t="s">
        <v>230</v>
      </c>
      <c r="B3" s="7"/>
      <c r="C3" s="109" t="s">
        <v>56</v>
      </c>
      <c r="D3" s="110">
        <v>50</v>
      </c>
      <c r="E3" s="42"/>
      <c r="F3" s="109" t="s">
        <v>56</v>
      </c>
      <c r="G3" s="109" t="s">
        <v>270</v>
      </c>
      <c r="H3" s="110">
        <v>50</v>
      </c>
      <c r="I3" s="40"/>
      <c r="J3" s="40"/>
      <c r="K3" s="40"/>
      <c r="L3" s="40"/>
      <c r="M3" s="40"/>
      <c r="N3" s="40"/>
      <c r="O3" s="40"/>
      <c r="P3" s="40"/>
      <c r="Q3" s="40"/>
      <c r="R3" s="40"/>
      <c r="S3" s="40"/>
      <c r="T3" s="40"/>
      <c r="U3" s="40"/>
      <c r="V3" s="40"/>
      <c r="W3" s="40"/>
      <c r="X3" s="40"/>
      <c r="Y3" s="40"/>
      <c r="Z3" s="43" t="s">
        <v>56</v>
      </c>
      <c r="AA3" s="40"/>
      <c r="AB3" s="43" t="s">
        <v>270</v>
      </c>
      <c r="AC3" s="40"/>
      <c r="AD3" s="43" t="s">
        <v>271</v>
      </c>
      <c r="AE3" s="40"/>
      <c r="AF3" s="43" t="s">
        <v>272</v>
      </c>
      <c r="AG3" s="40"/>
      <c r="AH3" s="43" t="s">
        <v>273</v>
      </c>
    </row>
    <row r="4" spans="1:34" ht="15" customHeight="1" x14ac:dyDescent="0.3">
      <c r="A4" s="27" t="s">
        <v>231</v>
      </c>
      <c r="B4" s="7"/>
      <c r="C4" s="109" t="s">
        <v>57</v>
      </c>
      <c r="D4" s="110">
        <v>20</v>
      </c>
      <c r="E4" s="42"/>
      <c r="F4" s="109" t="s">
        <v>57</v>
      </c>
      <c r="G4" s="109" t="s">
        <v>271</v>
      </c>
      <c r="H4" s="110">
        <v>20</v>
      </c>
      <c r="I4" s="40"/>
      <c r="J4" s="3"/>
      <c r="K4" s="3"/>
      <c r="L4" s="3"/>
      <c r="M4" s="3"/>
      <c r="N4" s="3"/>
      <c r="O4" s="40"/>
      <c r="P4" s="40"/>
      <c r="Q4" s="40"/>
      <c r="R4" s="40"/>
      <c r="S4" s="40"/>
      <c r="T4" s="40"/>
      <c r="U4" s="40"/>
      <c r="V4" s="40"/>
      <c r="W4" s="40"/>
      <c r="X4" s="40"/>
      <c r="Y4" s="40"/>
      <c r="Z4" s="43" t="s">
        <v>57</v>
      </c>
      <c r="AA4" s="40"/>
      <c r="AB4" s="43" t="s">
        <v>274</v>
      </c>
      <c r="AC4" s="40"/>
      <c r="AD4" s="43" t="s">
        <v>275</v>
      </c>
      <c r="AE4" s="40"/>
      <c r="AF4" s="43" t="s">
        <v>276</v>
      </c>
      <c r="AG4" s="40"/>
      <c r="AH4" s="43" t="s">
        <v>277</v>
      </c>
    </row>
    <row r="5" spans="1:34" s="20" customFormat="1" ht="15" customHeight="1" x14ac:dyDescent="0.35">
      <c r="A5" s="27" t="s">
        <v>232</v>
      </c>
      <c r="B5" s="41"/>
      <c r="C5" s="109" t="s">
        <v>58</v>
      </c>
      <c r="D5" s="110">
        <v>60</v>
      </c>
      <c r="E5" s="42"/>
      <c r="F5" s="109" t="s">
        <v>58</v>
      </c>
      <c r="G5" s="109" t="s">
        <v>272</v>
      </c>
      <c r="H5" s="110">
        <v>60</v>
      </c>
      <c r="I5" s="40"/>
      <c r="J5" s="3"/>
      <c r="K5" s="19"/>
      <c r="L5" s="3"/>
      <c r="M5" s="3"/>
      <c r="N5" s="3"/>
      <c r="O5" s="40"/>
      <c r="P5" s="40"/>
      <c r="Q5" s="41"/>
      <c r="R5" s="41"/>
      <c r="S5" s="41"/>
      <c r="T5" s="41"/>
      <c r="U5" s="41"/>
      <c r="V5" s="41"/>
      <c r="W5" s="41"/>
      <c r="X5" s="41"/>
      <c r="Y5" s="41"/>
      <c r="Z5" s="43" t="s">
        <v>58</v>
      </c>
      <c r="AA5" s="41"/>
      <c r="AB5" s="41"/>
      <c r="AC5" s="41"/>
      <c r="AD5" s="41"/>
      <c r="AE5" s="41"/>
      <c r="AF5" s="41"/>
      <c r="AG5" s="41"/>
      <c r="AH5" s="41"/>
    </row>
    <row r="6" spans="1:34" s="20" customFormat="1" ht="15" customHeight="1" x14ac:dyDescent="0.3">
      <c r="A6" s="27" t="s">
        <v>233</v>
      </c>
      <c r="B6" s="41"/>
      <c r="C6" s="109" t="s">
        <v>59</v>
      </c>
      <c r="D6" s="110">
        <v>40</v>
      </c>
      <c r="E6" s="42"/>
      <c r="F6" s="109" t="s">
        <v>59</v>
      </c>
      <c r="G6" s="109" t="s">
        <v>273</v>
      </c>
      <c r="H6" s="110">
        <v>40</v>
      </c>
      <c r="I6" s="40"/>
      <c r="J6" s="40"/>
      <c r="K6" s="40"/>
      <c r="L6" s="40"/>
      <c r="M6" s="40"/>
      <c r="N6" s="3"/>
      <c r="O6" s="40"/>
      <c r="P6" s="40"/>
      <c r="Q6" s="41"/>
      <c r="R6" s="41"/>
      <c r="S6" s="41"/>
      <c r="T6" s="41"/>
      <c r="U6" s="41"/>
      <c r="V6" s="41"/>
      <c r="W6" s="41"/>
      <c r="X6" s="41"/>
      <c r="Y6" s="41"/>
      <c r="Z6" s="43" t="s">
        <v>59</v>
      </c>
      <c r="AA6" s="41"/>
      <c r="AB6" s="41"/>
      <c r="AC6" s="41"/>
      <c r="AD6" s="41"/>
      <c r="AE6" s="41"/>
      <c r="AF6" s="41"/>
      <c r="AG6" s="41"/>
      <c r="AH6" s="41"/>
    </row>
    <row r="7" spans="1:34" s="20" customFormat="1" ht="15" customHeight="1" x14ac:dyDescent="0.3">
      <c r="A7" s="27" t="s">
        <v>234</v>
      </c>
      <c r="B7" s="41"/>
      <c r="C7" s="109" t="s">
        <v>56</v>
      </c>
      <c r="D7" s="110">
        <v>50</v>
      </c>
      <c r="E7" s="42"/>
      <c r="F7" s="109" t="s">
        <v>56</v>
      </c>
      <c r="G7" s="109" t="s">
        <v>274</v>
      </c>
      <c r="H7" s="110">
        <v>50</v>
      </c>
      <c r="I7" s="41"/>
      <c r="J7" s="41"/>
      <c r="K7" s="41"/>
      <c r="L7" s="41"/>
      <c r="M7" s="41"/>
      <c r="N7" s="3"/>
      <c r="O7" s="41"/>
      <c r="P7" s="41"/>
      <c r="Q7" s="41"/>
      <c r="R7" s="41"/>
      <c r="S7" s="41"/>
      <c r="T7" s="41"/>
      <c r="U7" s="41"/>
      <c r="V7" s="41"/>
      <c r="W7" s="41"/>
      <c r="X7" s="41"/>
      <c r="Y7" s="41"/>
      <c r="Z7" s="41"/>
      <c r="AA7" s="41"/>
      <c r="AB7" s="41"/>
      <c r="AC7" s="41"/>
      <c r="AD7" s="41"/>
      <c r="AE7" s="41"/>
      <c r="AF7" s="41"/>
      <c r="AG7" s="41"/>
      <c r="AH7" s="41"/>
    </row>
    <row r="8" spans="1:34" s="20" customFormat="1" ht="15" customHeight="1" x14ac:dyDescent="0.3">
      <c r="A8" s="27" t="s">
        <v>235</v>
      </c>
      <c r="B8" s="41"/>
      <c r="C8" s="109" t="s">
        <v>57</v>
      </c>
      <c r="D8" s="110">
        <v>20</v>
      </c>
      <c r="E8" s="42"/>
      <c r="F8" s="109" t="s">
        <v>57</v>
      </c>
      <c r="G8" s="109" t="s">
        <v>275</v>
      </c>
      <c r="H8" s="110">
        <v>20</v>
      </c>
      <c r="I8" s="41"/>
      <c r="J8" s="41"/>
      <c r="K8" s="41"/>
      <c r="L8" s="41"/>
      <c r="M8" s="41"/>
      <c r="N8" s="3"/>
      <c r="O8" s="41"/>
      <c r="P8" s="41"/>
      <c r="Q8" s="41"/>
      <c r="R8" s="41"/>
      <c r="S8" s="41"/>
      <c r="T8" s="41"/>
      <c r="U8" s="41"/>
      <c r="V8" s="41"/>
      <c r="W8" s="41"/>
      <c r="X8" s="41"/>
      <c r="Y8" s="41"/>
      <c r="Z8" s="41"/>
      <c r="AA8" s="41"/>
      <c r="AB8" s="41"/>
      <c r="AC8" s="41"/>
      <c r="AD8" s="41"/>
      <c r="AE8" s="41"/>
      <c r="AF8" s="41"/>
      <c r="AG8" s="41"/>
      <c r="AH8" s="41"/>
    </row>
    <row r="9" spans="1:34" s="20" customFormat="1" ht="15" customHeight="1" x14ac:dyDescent="0.3">
      <c r="A9" s="27" t="s">
        <v>236</v>
      </c>
      <c r="B9" s="41"/>
      <c r="C9" s="109" t="s">
        <v>58</v>
      </c>
      <c r="D9" s="110">
        <v>60</v>
      </c>
      <c r="E9" s="42"/>
      <c r="F9" s="109" t="s">
        <v>58</v>
      </c>
      <c r="G9" s="109" t="s">
        <v>276</v>
      </c>
      <c r="H9" s="110">
        <v>60</v>
      </c>
      <c r="I9" s="41"/>
      <c r="J9" s="41"/>
      <c r="K9" s="41"/>
      <c r="L9" s="41"/>
      <c r="M9" s="41"/>
      <c r="N9" s="3"/>
      <c r="O9" s="41"/>
      <c r="P9" s="41"/>
      <c r="Q9" s="41"/>
      <c r="R9" s="41"/>
      <c r="S9" s="41"/>
      <c r="T9" s="41"/>
      <c r="U9" s="41"/>
      <c r="V9" s="41"/>
      <c r="W9" s="41"/>
      <c r="X9" s="41"/>
      <c r="Y9" s="41"/>
      <c r="Z9" s="41"/>
      <c r="AA9" s="41"/>
      <c r="AB9" s="41"/>
      <c r="AC9" s="41"/>
      <c r="AD9" s="41"/>
      <c r="AE9" s="41"/>
      <c r="AF9" s="41"/>
      <c r="AG9" s="41"/>
      <c r="AH9" s="41"/>
    </row>
    <row r="10" spans="1:34" s="20" customFormat="1" ht="15" customHeight="1" x14ac:dyDescent="0.3">
      <c r="A10" s="27" t="s">
        <v>237</v>
      </c>
      <c r="B10" s="41"/>
      <c r="C10" s="109" t="s">
        <v>59</v>
      </c>
      <c r="D10" s="110">
        <v>40</v>
      </c>
      <c r="E10" s="42"/>
      <c r="F10" s="109" t="s">
        <v>59</v>
      </c>
      <c r="G10" s="109" t="s">
        <v>277</v>
      </c>
      <c r="H10" s="110">
        <v>40</v>
      </c>
      <c r="I10" s="41"/>
      <c r="J10" s="3"/>
      <c r="K10" s="3"/>
      <c r="L10" s="3"/>
      <c r="M10" s="3"/>
      <c r="N10" s="3"/>
      <c r="O10" s="41"/>
      <c r="P10" s="41"/>
      <c r="Q10" s="41"/>
      <c r="R10" s="41"/>
      <c r="S10" s="41"/>
      <c r="T10" s="41"/>
      <c r="U10" s="41"/>
      <c r="V10" s="41"/>
      <c r="W10" s="41"/>
      <c r="X10" s="41"/>
      <c r="Y10" s="41"/>
      <c r="Z10" s="41"/>
      <c r="AA10" s="41"/>
      <c r="AB10" s="41"/>
      <c r="AC10" s="41"/>
      <c r="AD10" s="41"/>
      <c r="AE10" s="41"/>
      <c r="AF10" s="41"/>
      <c r="AG10" s="41"/>
      <c r="AH10" s="41"/>
    </row>
    <row r="11" spans="1:34" s="20" customFormat="1" ht="15" customHeight="1" x14ac:dyDescent="0.3">
      <c r="A11" s="27" t="s">
        <v>238</v>
      </c>
      <c r="B11" s="41"/>
      <c r="C11" s="109" t="s">
        <v>56</v>
      </c>
      <c r="D11" s="110">
        <v>50</v>
      </c>
      <c r="E11" s="42"/>
      <c r="F11" s="109" t="s">
        <v>56</v>
      </c>
      <c r="G11" s="109" t="s">
        <v>274</v>
      </c>
      <c r="H11" s="110">
        <v>50</v>
      </c>
      <c r="I11" s="41"/>
      <c r="J11" s="46"/>
      <c r="K11" s="8"/>
      <c r="L11" s="3"/>
      <c r="M11" s="3"/>
      <c r="N11" s="3"/>
      <c r="O11" s="41"/>
      <c r="P11" s="41"/>
      <c r="Q11" s="41"/>
      <c r="R11" s="41"/>
      <c r="S11" s="41"/>
      <c r="T11" s="41"/>
      <c r="U11" s="41"/>
      <c r="V11" s="41"/>
      <c r="W11" s="41"/>
      <c r="X11" s="41"/>
      <c r="Y11" s="41"/>
      <c r="Z11" s="41"/>
      <c r="AA11" s="41"/>
      <c r="AB11" s="41"/>
      <c r="AC11" s="41"/>
      <c r="AD11" s="41"/>
      <c r="AE11" s="41"/>
      <c r="AF11" s="41"/>
      <c r="AG11" s="41"/>
      <c r="AH11" s="41"/>
    </row>
    <row r="12" spans="1:34" s="20" customFormat="1" ht="15" customHeight="1" x14ac:dyDescent="0.3">
      <c r="A12" s="27" t="s">
        <v>239</v>
      </c>
      <c r="B12" s="41"/>
      <c r="C12" s="109" t="s">
        <v>57</v>
      </c>
      <c r="D12" s="110">
        <v>20</v>
      </c>
      <c r="E12" s="42"/>
      <c r="F12" s="109" t="s">
        <v>57</v>
      </c>
      <c r="G12" s="109" t="s">
        <v>275</v>
      </c>
      <c r="H12" s="110">
        <v>20</v>
      </c>
      <c r="I12" s="41"/>
      <c r="J12" s="46"/>
      <c r="K12" s="4"/>
      <c r="L12" s="3"/>
      <c r="M12" s="3"/>
      <c r="N12" s="3"/>
      <c r="O12" s="41"/>
      <c r="P12" s="41"/>
      <c r="Q12" s="41"/>
      <c r="R12" s="41"/>
      <c r="S12" s="41"/>
      <c r="T12" s="41"/>
      <c r="U12" s="41"/>
      <c r="V12" s="41"/>
      <c r="W12" s="41"/>
      <c r="X12" s="41"/>
      <c r="Y12" s="41"/>
      <c r="Z12" s="41"/>
      <c r="AA12" s="41"/>
      <c r="AB12" s="41"/>
      <c r="AC12" s="41"/>
      <c r="AD12" s="41"/>
      <c r="AE12" s="41"/>
      <c r="AF12" s="41"/>
      <c r="AG12" s="41"/>
      <c r="AH12" s="41"/>
    </row>
    <row r="13" spans="1:34" s="20" customFormat="1" ht="15" customHeight="1" x14ac:dyDescent="0.3">
      <c r="A13" s="29" t="s">
        <v>240</v>
      </c>
      <c r="B13" s="41"/>
      <c r="C13" s="109" t="s">
        <v>58</v>
      </c>
      <c r="D13" s="110">
        <v>60</v>
      </c>
      <c r="E13" s="42"/>
      <c r="F13" s="109" t="s">
        <v>58</v>
      </c>
      <c r="G13" s="109" t="s">
        <v>272</v>
      </c>
      <c r="H13" s="110">
        <v>60</v>
      </c>
      <c r="I13" s="41"/>
      <c r="J13" s="46"/>
      <c r="K13" s="4"/>
      <c r="L13" s="3"/>
      <c r="M13" s="3"/>
      <c r="N13" s="3"/>
      <c r="O13" s="41"/>
      <c r="P13" s="41"/>
      <c r="Q13" s="41"/>
      <c r="R13" s="41"/>
      <c r="S13" s="41"/>
      <c r="T13" s="41"/>
      <c r="U13" s="41"/>
      <c r="V13" s="41"/>
      <c r="W13" s="41"/>
      <c r="X13" s="41"/>
      <c r="Y13" s="41"/>
      <c r="Z13" s="41"/>
      <c r="AA13" s="41"/>
      <c r="AB13" s="41"/>
      <c r="AC13" s="41"/>
      <c r="AD13" s="41"/>
      <c r="AE13" s="41"/>
      <c r="AF13" s="41"/>
      <c r="AG13" s="41"/>
      <c r="AH13" s="41"/>
    </row>
    <row r="14" spans="1:34" s="20" customFormat="1" ht="15" customHeight="1" x14ac:dyDescent="0.3">
      <c r="A14" s="28" t="s">
        <v>241</v>
      </c>
      <c r="B14" s="41"/>
      <c r="C14" s="109" t="s">
        <v>59</v>
      </c>
      <c r="D14" s="110">
        <v>40</v>
      </c>
      <c r="E14" s="42"/>
      <c r="F14" s="109" t="s">
        <v>59</v>
      </c>
      <c r="G14" s="109" t="s">
        <v>277</v>
      </c>
      <c r="H14" s="110">
        <v>40</v>
      </c>
      <c r="I14" s="41"/>
      <c r="J14" s="46"/>
      <c r="K14" s="47"/>
      <c r="L14" s="3"/>
      <c r="M14" s="3"/>
      <c r="N14" s="3"/>
      <c r="O14" s="41"/>
      <c r="P14" s="41"/>
      <c r="Q14" s="41"/>
      <c r="R14" s="41"/>
      <c r="S14" s="41"/>
      <c r="T14" s="41"/>
      <c r="U14" s="41"/>
      <c r="V14" s="41"/>
      <c r="W14" s="41"/>
      <c r="X14" s="41"/>
      <c r="Y14" s="41"/>
      <c r="Z14" s="41"/>
      <c r="AA14" s="41"/>
      <c r="AB14" s="41"/>
      <c r="AC14" s="41"/>
      <c r="AD14" s="41"/>
      <c r="AE14" s="41"/>
      <c r="AF14" s="41"/>
      <c r="AG14" s="41"/>
      <c r="AH14" s="41"/>
    </row>
    <row r="15" spans="1:34" s="20" customFormat="1" ht="15" customHeight="1" x14ac:dyDescent="0.3">
      <c r="A15" s="29" t="s">
        <v>242</v>
      </c>
      <c r="B15" s="41"/>
      <c r="C15" s="21"/>
      <c r="D15" s="21"/>
      <c r="E15" s="21"/>
      <c r="F15" s="21"/>
      <c r="G15" s="21"/>
      <c r="H15" s="21"/>
      <c r="I15" s="41"/>
      <c r="J15" s="46"/>
      <c r="K15" s="48"/>
      <c r="L15" s="3"/>
      <c r="M15" s="3"/>
      <c r="N15" s="3"/>
      <c r="O15" s="41"/>
      <c r="P15" s="41"/>
      <c r="Q15" s="41"/>
      <c r="R15" s="41"/>
      <c r="S15" s="41"/>
      <c r="T15" s="41"/>
      <c r="U15" s="41"/>
      <c r="V15" s="41"/>
      <c r="W15" s="41"/>
      <c r="X15" s="41"/>
      <c r="Y15" s="41"/>
      <c r="Z15" s="41"/>
      <c r="AA15" s="41"/>
      <c r="AB15" s="41"/>
      <c r="AC15" s="41"/>
      <c r="AD15" s="41"/>
      <c r="AE15" s="41"/>
      <c r="AF15" s="41"/>
      <c r="AG15" s="41"/>
      <c r="AH15" s="41"/>
    </row>
    <row r="16" spans="1:34" s="20" customFormat="1" ht="15" customHeight="1" thickBot="1" x14ac:dyDescent="0.35">
      <c r="A16" s="27" t="s">
        <v>11</v>
      </c>
      <c r="B16" s="41"/>
      <c r="C16" s="41" t="s">
        <v>55</v>
      </c>
      <c r="D16" s="23" t="s">
        <v>267</v>
      </c>
      <c r="E16" s="42"/>
      <c r="F16" s="41" t="s">
        <v>55</v>
      </c>
      <c r="G16" s="41" t="s">
        <v>269</v>
      </c>
      <c r="H16" s="23" t="s">
        <v>279</v>
      </c>
      <c r="I16" s="41"/>
      <c r="J16" s="46"/>
      <c r="K16" s="8"/>
      <c r="L16" s="3"/>
      <c r="M16" s="3"/>
      <c r="N16" s="3"/>
      <c r="O16" s="41"/>
      <c r="P16" s="41"/>
      <c r="Q16" s="41"/>
      <c r="R16" s="41"/>
      <c r="S16" s="41"/>
      <c r="T16" s="41"/>
      <c r="U16" s="41"/>
      <c r="V16" s="41"/>
      <c r="W16" s="41"/>
      <c r="X16" s="41"/>
      <c r="Y16" s="41"/>
      <c r="Z16" s="41"/>
      <c r="AA16" s="41"/>
      <c r="AB16" s="41"/>
      <c r="AC16" s="41"/>
      <c r="AD16" s="41"/>
      <c r="AE16" s="41"/>
      <c r="AF16" s="41"/>
      <c r="AG16" s="41"/>
      <c r="AH16" s="41"/>
    </row>
    <row r="17" spans="1:34" s="20" customFormat="1" ht="15" customHeight="1" thickTop="1" thickBot="1" x14ac:dyDescent="0.35">
      <c r="A17" s="27" t="s">
        <v>12</v>
      </c>
      <c r="B17" s="41"/>
      <c r="C17" s="49" t="s">
        <v>56</v>
      </c>
      <c r="D17" s="50"/>
      <c r="E17" s="42"/>
      <c r="F17" s="49" t="s">
        <v>57</v>
      </c>
      <c r="G17" s="49" t="s">
        <v>271</v>
      </c>
      <c r="H17" s="45"/>
      <c r="I17" s="41"/>
      <c r="J17" s="51"/>
      <c r="K17" s="4"/>
      <c r="L17" s="3"/>
      <c r="M17" s="3"/>
      <c r="N17" s="3"/>
      <c r="O17" s="41"/>
      <c r="P17" s="41"/>
      <c r="Q17" s="41"/>
      <c r="R17" s="41"/>
      <c r="S17" s="41"/>
      <c r="T17" s="41"/>
      <c r="U17" s="41"/>
      <c r="V17" s="41"/>
      <c r="W17" s="41"/>
      <c r="X17" s="41"/>
      <c r="Y17" s="41"/>
      <c r="Z17" s="41"/>
      <c r="AA17" s="41"/>
      <c r="AB17" s="41"/>
      <c r="AC17" s="41"/>
      <c r="AD17" s="41"/>
      <c r="AE17" s="41"/>
      <c r="AF17" s="41"/>
      <c r="AG17" s="41"/>
      <c r="AH17" s="41"/>
    </row>
    <row r="18" spans="1:34" s="20" customFormat="1" ht="15" customHeight="1" thickTop="1" x14ac:dyDescent="0.3">
      <c r="A18" s="27" t="s">
        <v>243</v>
      </c>
      <c r="B18" s="41"/>
      <c r="C18" s="41"/>
      <c r="D18" s="41"/>
      <c r="E18" s="42"/>
      <c r="F18" s="41"/>
      <c r="G18" s="41"/>
      <c r="H18" s="41"/>
      <c r="I18" s="41"/>
      <c r="J18" s="46"/>
      <c r="K18" s="47"/>
      <c r="L18" s="3"/>
      <c r="M18" s="3"/>
      <c r="N18" s="3"/>
      <c r="O18" s="41"/>
      <c r="P18" s="41"/>
      <c r="Q18" s="41"/>
      <c r="R18" s="41"/>
      <c r="S18" s="41"/>
      <c r="T18" s="41"/>
      <c r="U18" s="41"/>
      <c r="V18" s="41"/>
      <c r="W18" s="41"/>
      <c r="X18" s="41"/>
      <c r="Y18" s="41"/>
      <c r="Z18" s="41"/>
      <c r="AA18" s="41"/>
      <c r="AB18" s="41"/>
      <c r="AC18" s="41"/>
      <c r="AD18" s="41"/>
      <c r="AE18" s="41"/>
      <c r="AF18" s="41"/>
      <c r="AG18" s="41"/>
      <c r="AH18" s="41"/>
    </row>
    <row r="19" spans="1:34" s="20" customFormat="1" ht="15" customHeight="1" x14ac:dyDescent="0.3">
      <c r="A19" s="27" t="s">
        <v>244</v>
      </c>
      <c r="B19" s="41"/>
      <c r="C19" s="1"/>
      <c r="D19" s="1"/>
      <c r="E19" s="1"/>
      <c r="F19" s="1"/>
      <c r="G19" s="1"/>
      <c r="H19" s="1"/>
      <c r="I19" s="41"/>
      <c r="J19" s="46"/>
      <c r="K19" s="48"/>
      <c r="L19" s="3"/>
      <c r="M19" s="3"/>
      <c r="N19" s="41"/>
      <c r="O19" s="41"/>
      <c r="P19" s="41"/>
      <c r="Q19" s="41"/>
      <c r="R19" s="41"/>
      <c r="S19" s="41"/>
      <c r="T19" s="41"/>
      <c r="U19" s="41"/>
      <c r="V19" s="41"/>
      <c r="W19" s="41"/>
      <c r="X19" s="41"/>
      <c r="Y19" s="41"/>
      <c r="Z19" s="41"/>
      <c r="AA19" s="41"/>
      <c r="AB19" s="41"/>
      <c r="AC19" s="41"/>
      <c r="AD19" s="41"/>
      <c r="AE19" s="41"/>
      <c r="AF19" s="41"/>
      <c r="AG19" s="41"/>
      <c r="AH19" s="41"/>
    </row>
    <row r="20" spans="1:34" s="20" customFormat="1" ht="15" customHeight="1" x14ac:dyDescent="0.3">
      <c r="A20" s="27" t="s">
        <v>314</v>
      </c>
      <c r="B20" s="41"/>
      <c r="C20" s="1"/>
      <c r="D20" s="1"/>
      <c r="E20" s="1"/>
      <c r="F20" s="1"/>
      <c r="G20" s="1"/>
      <c r="H20" s="1"/>
      <c r="I20" s="41"/>
      <c r="J20" s="51"/>
      <c r="K20" s="8"/>
      <c r="L20" s="41"/>
      <c r="M20" s="3"/>
      <c r="N20" s="41"/>
      <c r="O20" s="41"/>
      <c r="P20" s="41"/>
      <c r="Q20" s="41"/>
      <c r="R20" s="41"/>
      <c r="S20" s="41"/>
      <c r="T20" s="41"/>
      <c r="U20" s="41"/>
      <c r="V20" s="41"/>
      <c r="W20" s="41"/>
      <c r="X20" s="41"/>
      <c r="Y20" s="41"/>
      <c r="Z20" s="41"/>
      <c r="AA20" s="41"/>
      <c r="AB20" s="41"/>
      <c r="AC20" s="41"/>
      <c r="AD20" s="41"/>
      <c r="AE20" s="41"/>
      <c r="AF20" s="41"/>
      <c r="AG20" s="41"/>
      <c r="AH20" s="41"/>
    </row>
    <row r="21" spans="1:34" s="20" customFormat="1" ht="15" customHeight="1" x14ac:dyDescent="0.3">
      <c r="A21" s="27" t="s">
        <v>245</v>
      </c>
      <c r="B21" s="41"/>
      <c r="C21" s="1"/>
      <c r="D21" s="1"/>
      <c r="E21" s="1"/>
      <c r="F21" s="1"/>
      <c r="G21" s="1"/>
      <c r="H21" s="1"/>
      <c r="I21" s="41"/>
      <c r="J21" s="51"/>
      <c r="K21" s="4"/>
      <c r="L21" s="41"/>
      <c r="M21" s="3"/>
      <c r="N21" s="41"/>
      <c r="O21" s="41"/>
      <c r="P21" s="41"/>
      <c r="Q21" s="41"/>
      <c r="R21" s="41"/>
      <c r="S21" s="41"/>
      <c r="T21" s="41"/>
      <c r="U21" s="41"/>
      <c r="V21" s="41"/>
      <c r="W21" s="41"/>
      <c r="X21" s="41"/>
      <c r="Y21" s="41"/>
      <c r="Z21" s="41"/>
      <c r="AA21" s="41"/>
      <c r="AB21" s="41"/>
      <c r="AC21" s="41"/>
      <c r="AD21" s="41"/>
      <c r="AE21" s="41"/>
      <c r="AF21" s="41"/>
      <c r="AG21" s="41"/>
      <c r="AH21" s="41"/>
    </row>
    <row r="22" spans="1:34" s="20" customFormat="1" ht="15" customHeight="1" x14ac:dyDescent="0.3">
      <c r="A22" s="27" t="s">
        <v>232</v>
      </c>
      <c r="B22" s="41"/>
      <c r="C22" s="1"/>
      <c r="D22" s="1"/>
      <c r="E22" s="1"/>
      <c r="F22" s="1"/>
      <c r="G22" s="1"/>
      <c r="H22" s="1"/>
      <c r="I22" s="41"/>
      <c r="J22" s="40"/>
      <c r="K22" s="4"/>
      <c r="L22" s="52"/>
      <c r="M22" s="3"/>
      <c r="N22" s="41"/>
      <c r="O22" s="41"/>
      <c r="P22" s="41"/>
      <c r="Q22" s="41"/>
      <c r="R22" s="41"/>
      <c r="S22" s="41"/>
      <c r="T22" s="41"/>
      <c r="U22" s="41"/>
      <c r="V22" s="41"/>
      <c r="W22" s="41"/>
      <c r="X22" s="41"/>
      <c r="Y22" s="41"/>
      <c r="Z22" s="41"/>
      <c r="AA22" s="41"/>
      <c r="AB22" s="41"/>
      <c r="AC22" s="41"/>
      <c r="AD22" s="41"/>
      <c r="AE22" s="41"/>
      <c r="AF22" s="41"/>
      <c r="AG22" s="41"/>
      <c r="AH22" s="41"/>
    </row>
    <row r="23" spans="1:34" s="20" customFormat="1" ht="15" customHeight="1" x14ac:dyDescent="0.3">
      <c r="A23" s="27" t="s">
        <v>233</v>
      </c>
      <c r="B23" s="41"/>
      <c r="C23" s="1"/>
      <c r="D23" s="1"/>
      <c r="E23" s="1"/>
      <c r="F23" s="1"/>
      <c r="G23" s="1"/>
      <c r="H23" s="1"/>
      <c r="I23" s="41"/>
      <c r="J23" s="40"/>
      <c r="K23" s="53"/>
      <c r="L23" s="52"/>
      <c r="M23" s="3"/>
      <c r="N23" s="41"/>
      <c r="O23" s="41"/>
      <c r="P23" s="41"/>
      <c r="Q23" s="41"/>
      <c r="R23" s="41"/>
      <c r="S23" s="41"/>
      <c r="T23" s="41"/>
      <c r="U23" s="41"/>
      <c r="V23" s="41"/>
      <c r="W23" s="41"/>
      <c r="X23" s="41"/>
      <c r="Y23" s="41"/>
      <c r="Z23" s="41"/>
      <c r="AA23" s="41"/>
      <c r="AB23" s="41"/>
      <c r="AC23" s="41"/>
      <c r="AD23" s="41"/>
      <c r="AE23" s="41"/>
      <c r="AF23" s="41"/>
      <c r="AG23" s="41"/>
      <c r="AH23" s="41"/>
    </row>
    <row r="24" spans="1:34" s="20" customFormat="1" ht="15" customHeight="1" x14ac:dyDescent="0.3">
      <c r="A24" s="29" t="s">
        <v>316</v>
      </c>
      <c r="B24" s="41"/>
      <c r="C24" s="1"/>
      <c r="D24" s="1"/>
      <c r="E24" s="1"/>
      <c r="F24" s="1"/>
      <c r="G24" s="1"/>
      <c r="H24" s="1"/>
      <c r="I24" s="41"/>
      <c r="J24" s="40"/>
      <c r="K24" s="41"/>
      <c r="L24" s="52"/>
      <c r="M24" s="3"/>
      <c r="N24" s="41"/>
      <c r="O24" s="41"/>
      <c r="P24" s="41"/>
      <c r="Q24" s="41"/>
      <c r="R24" s="41"/>
      <c r="S24" s="41"/>
      <c r="T24" s="41"/>
      <c r="U24" s="41"/>
      <c r="V24" s="41"/>
      <c r="W24" s="41"/>
      <c r="X24" s="41"/>
      <c r="Y24" s="41"/>
      <c r="Z24" s="41"/>
      <c r="AA24" s="41"/>
      <c r="AB24" s="41"/>
      <c r="AC24" s="41"/>
      <c r="AD24" s="41"/>
      <c r="AE24" s="41"/>
      <c r="AF24" s="41"/>
      <c r="AG24" s="41"/>
      <c r="AH24" s="40"/>
    </row>
    <row r="25" spans="1:34" s="20" customFormat="1" ht="15" customHeight="1" x14ac:dyDescent="0.3">
      <c r="A25" s="27" t="s">
        <v>246</v>
      </c>
      <c r="B25" s="41"/>
      <c r="C25" s="1"/>
      <c r="D25" s="1"/>
      <c r="E25" s="1"/>
      <c r="F25" s="1"/>
      <c r="G25" s="1"/>
      <c r="H25" s="1"/>
      <c r="I25" s="41"/>
      <c r="J25" s="40"/>
      <c r="K25" s="41"/>
      <c r="L25" s="52"/>
      <c r="M25" s="3"/>
      <c r="N25" s="41"/>
      <c r="O25" s="41"/>
      <c r="P25" s="41"/>
      <c r="Q25" s="41"/>
      <c r="R25" s="41"/>
      <c r="S25" s="41"/>
      <c r="T25" s="41"/>
      <c r="U25" s="41"/>
      <c r="V25" s="41"/>
      <c r="W25" s="41"/>
      <c r="X25" s="41"/>
      <c r="Y25" s="41"/>
      <c r="Z25" s="41"/>
      <c r="AA25" s="41"/>
      <c r="AB25" s="41"/>
      <c r="AC25" s="41"/>
      <c r="AD25" s="41"/>
      <c r="AE25" s="41"/>
      <c r="AF25" s="41"/>
      <c r="AG25" s="41"/>
      <c r="AH25" s="40"/>
    </row>
    <row r="26" spans="1:34" s="20" customFormat="1" ht="15" customHeight="1" x14ac:dyDescent="0.3">
      <c r="A26" s="27" t="s">
        <v>247</v>
      </c>
      <c r="B26" s="41"/>
      <c r="C26" s="1"/>
      <c r="D26" s="1"/>
      <c r="E26" s="1"/>
      <c r="F26" s="1"/>
      <c r="G26" s="1"/>
      <c r="H26" s="1"/>
      <c r="I26" s="41"/>
      <c r="J26" s="40"/>
      <c r="K26" s="41"/>
      <c r="L26" s="52"/>
      <c r="M26" s="3"/>
      <c r="N26" s="41"/>
      <c r="O26" s="41"/>
      <c r="P26" s="41"/>
      <c r="Q26" s="41"/>
      <c r="R26" s="41"/>
      <c r="S26" s="41"/>
      <c r="T26" s="41"/>
      <c r="U26" s="41"/>
      <c r="V26" s="41"/>
      <c r="W26" s="41"/>
      <c r="X26" s="41"/>
      <c r="Y26" s="41"/>
      <c r="Z26" s="41"/>
      <c r="AA26" s="41"/>
      <c r="AB26" s="41"/>
      <c r="AC26" s="41"/>
      <c r="AD26" s="41"/>
      <c r="AE26" s="41"/>
      <c r="AF26" s="41"/>
      <c r="AG26" s="41"/>
      <c r="AH26" s="40"/>
    </row>
    <row r="27" spans="1:34" s="20" customFormat="1" ht="15" customHeight="1" x14ac:dyDescent="0.3">
      <c r="A27" s="27" t="s">
        <v>239</v>
      </c>
      <c r="B27" s="41"/>
      <c r="C27" s="1"/>
      <c r="D27" s="1"/>
      <c r="E27" s="1"/>
      <c r="F27" s="1"/>
      <c r="G27" s="1"/>
      <c r="H27" s="1"/>
      <c r="I27" s="41"/>
      <c r="J27" s="40"/>
      <c r="K27" s="41"/>
      <c r="L27" s="52"/>
      <c r="M27" s="3"/>
      <c r="N27" s="41"/>
      <c r="O27" s="41"/>
      <c r="P27" s="41"/>
      <c r="Q27" s="41"/>
      <c r="R27" s="41"/>
      <c r="S27" s="41"/>
      <c r="T27" s="41"/>
      <c r="U27" s="41"/>
      <c r="V27" s="41"/>
      <c r="W27" s="41"/>
      <c r="X27" s="41"/>
      <c r="Y27" s="41"/>
      <c r="Z27" s="41"/>
      <c r="AA27" s="41"/>
      <c r="AB27" s="41"/>
      <c r="AC27" s="41"/>
      <c r="AD27" s="41"/>
      <c r="AE27" s="41"/>
      <c r="AF27" s="41"/>
      <c r="AG27" s="41"/>
      <c r="AH27" s="40"/>
    </row>
    <row r="28" spans="1:34" s="20" customFormat="1" ht="15" customHeight="1" x14ac:dyDescent="0.3">
      <c r="A28" s="27" t="s">
        <v>248</v>
      </c>
      <c r="B28" s="41"/>
      <c r="C28" s="1"/>
      <c r="D28" s="1"/>
      <c r="E28" s="1"/>
      <c r="F28" s="1"/>
      <c r="G28" s="1"/>
      <c r="H28" s="1"/>
      <c r="I28" s="41"/>
      <c r="J28" s="40"/>
      <c r="K28" s="41"/>
      <c r="L28" s="52"/>
      <c r="M28" s="41"/>
      <c r="N28" s="41"/>
      <c r="O28" s="41"/>
      <c r="P28" s="41"/>
      <c r="Q28" s="41"/>
      <c r="R28" s="41"/>
      <c r="S28" s="41"/>
      <c r="T28" s="41"/>
      <c r="U28" s="41"/>
      <c r="V28" s="41"/>
      <c r="W28" s="41"/>
      <c r="X28" s="41"/>
      <c r="Y28" s="41"/>
      <c r="Z28" s="41"/>
      <c r="AA28" s="41"/>
      <c r="AB28" s="41"/>
      <c r="AC28" s="41"/>
      <c r="AD28" s="41"/>
      <c r="AE28" s="41"/>
      <c r="AF28" s="41"/>
      <c r="AG28" s="41"/>
      <c r="AH28" s="40"/>
    </row>
    <row r="29" spans="1:34" s="20" customFormat="1" ht="15" customHeight="1" x14ac:dyDescent="0.3">
      <c r="A29" s="27" t="s">
        <v>249</v>
      </c>
      <c r="B29" s="41"/>
      <c r="C29" s="1"/>
      <c r="D29" s="1"/>
      <c r="E29" s="1"/>
      <c r="F29" s="1"/>
      <c r="G29" s="1"/>
      <c r="H29" s="1"/>
      <c r="I29" s="41"/>
      <c r="J29" s="40"/>
      <c r="K29" s="41"/>
      <c r="L29" s="52"/>
      <c r="M29" s="41"/>
      <c r="N29" s="41"/>
      <c r="O29" s="41"/>
      <c r="P29" s="41"/>
      <c r="Q29" s="41"/>
      <c r="R29" s="41"/>
      <c r="S29" s="41"/>
      <c r="T29" s="41"/>
      <c r="U29" s="41"/>
      <c r="V29" s="41"/>
      <c r="W29" s="41"/>
      <c r="X29" s="41"/>
      <c r="Y29" s="41"/>
      <c r="Z29" s="41"/>
      <c r="AA29" s="41"/>
      <c r="AB29" s="41"/>
      <c r="AC29" s="41"/>
      <c r="AD29" s="41"/>
      <c r="AE29" s="41"/>
      <c r="AF29" s="41"/>
      <c r="AG29" s="41"/>
      <c r="AH29" s="40"/>
    </row>
    <row r="30" spans="1:34" s="20" customFormat="1" ht="15" customHeight="1" x14ac:dyDescent="0.3">
      <c r="A30" s="27" t="s">
        <v>11</v>
      </c>
      <c r="B30" s="41"/>
      <c r="C30" s="1"/>
      <c r="D30" s="1"/>
      <c r="E30" s="1"/>
      <c r="F30" s="1"/>
      <c r="G30" s="1"/>
      <c r="H30" s="1"/>
      <c r="I30" s="41"/>
      <c r="J30" s="41"/>
      <c r="K30" s="41"/>
      <c r="L30" s="41"/>
      <c r="M30" s="41"/>
      <c r="N30" s="41"/>
      <c r="O30" s="41"/>
      <c r="P30" s="41"/>
      <c r="Q30" s="41"/>
      <c r="R30" s="41"/>
      <c r="S30" s="41"/>
      <c r="T30" s="41"/>
      <c r="U30" s="41"/>
      <c r="V30" s="41"/>
      <c r="W30" s="41"/>
      <c r="X30" s="41"/>
      <c r="Y30" s="41"/>
      <c r="Z30" s="41"/>
      <c r="AA30" s="41"/>
      <c r="AB30" s="40"/>
      <c r="AC30" s="41"/>
      <c r="AD30" s="40"/>
      <c r="AE30" s="41"/>
      <c r="AF30" s="41"/>
      <c r="AG30" s="41"/>
      <c r="AH30" s="40"/>
    </row>
    <row r="31" spans="1:34" s="20" customFormat="1" ht="15" customHeight="1" x14ac:dyDescent="0.3">
      <c r="A31" s="27" t="s">
        <v>23</v>
      </c>
      <c r="B31" s="41"/>
      <c r="C31" s="1"/>
      <c r="D31" s="1"/>
      <c r="E31" s="1"/>
      <c r="F31" s="1"/>
      <c r="G31" s="1"/>
      <c r="H31" s="1"/>
      <c r="I31" s="41"/>
      <c r="J31" s="41"/>
      <c r="K31" s="41"/>
      <c r="L31" s="41"/>
      <c r="M31" s="41"/>
      <c r="N31" s="3"/>
      <c r="O31" s="41"/>
      <c r="P31" s="41"/>
      <c r="Q31" s="41"/>
      <c r="R31" s="41"/>
      <c r="S31" s="41"/>
      <c r="T31" s="41"/>
      <c r="U31" s="41"/>
      <c r="V31" s="41"/>
      <c r="W31" s="41"/>
      <c r="X31" s="41"/>
      <c r="Y31" s="41"/>
      <c r="Z31" s="41"/>
      <c r="AA31" s="41"/>
      <c r="AB31" s="40"/>
      <c r="AC31" s="41"/>
      <c r="AD31" s="40"/>
      <c r="AE31" s="41"/>
      <c r="AF31" s="41"/>
      <c r="AG31" s="41"/>
      <c r="AH31" s="40"/>
    </row>
    <row r="32" spans="1:34" s="20" customFormat="1" ht="15" customHeight="1" x14ac:dyDescent="0.3">
      <c r="A32" s="24" t="s">
        <v>250</v>
      </c>
      <c r="B32" s="41"/>
      <c r="C32" s="1"/>
      <c r="D32" s="1"/>
      <c r="E32" s="1"/>
      <c r="F32" s="1"/>
      <c r="G32" s="1"/>
      <c r="H32" s="1"/>
      <c r="I32" s="41"/>
      <c r="J32" s="41"/>
      <c r="K32" s="41"/>
      <c r="L32" s="41"/>
      <c r="M32" s="41"/>
      <c r="N32" s="3"/>
      <c r="O32" s="41"/>
      <c r="P32" s="41"/>
      <c r="Q32" s="41"/>
      <c r="R32" s="41"/>
      <c r="S32" s="41"/>
      <c r="T32" s="41"/>
      <c r="U32" s="41"/>
      <c r="V32" s="41"/>
      <c r="W32" s="41"/>
      <c r="X32" s="41"/>
      <c r="Y32" s="41"/>
      <c r="Z32" s="41"/>
      <c r="AA32" s="41"/>
      <c r="AB32" s="40"/>
      <c r="AC32" s="41"/>
      <c r="AD32" s="40"/>
      <c r="AE32" s="41"/>
      <c r="AF32" s="41"/>
      <c r="AG32" s="41"/>
      <c r="AH32" s="40"/>
    </row>
    <row r="33" spans="1:34" s="20" customFormat="1" ht="15" customHeight="1" x14ac:dyDescent="0.3">
      <c r="A33" s="24" t="s">
        <v>251</v>
      </c>
      <c r="B33" s="41"/>
      <c r="C33" s="1"/>
      <c r="D33" s="1"/>
      <c r="E33" s="1"/>
      <c r="F33" s="1"/>
      <c r="G33" s="1"/>
      <c r="H33" s="1"/>
      <c r="I33" s="41"/>
      <c r="J33" s="41"/>
      <c r="K33" s="41"/>
      <c r="L33" s="41"/>
      <c r="M33" s="41"/>
      <c r="N33" s="41"/>
      <c r="O33" s="41"/>
      <c r="P33" s="41"/>
      <c r="Q33" s="41"/>
      <c r="R33" s="41"/>
      <c r="S33" s="41"/>
      <c r="T33" s="41"/>
      <c r="U33" s="41"/>
      <c r="V33" s="41"/>
      <c r="W33" s="41"/>
      <c r="X33" s="41"/>
      <c r="Y33" s="41"/>
      <c r="Z33" s="41"/>
      <c r="AA33" s="41"/>
      <c r="AB33" s="40"/>
      <c r="AC33" s="41"/>
      <c r="AD33" s="40"/>
      <c r="AE33" s="41"/>
      <c r="AF33" s="41"/>
      <c r="AG33" s="41"/>
      <c r="AH33" s="40"/>
    </row>
    <row r="34" spans="1:34" s="20" customFormat="1" ht="15" customHeight="1" x14ac:dyDescent="0.3">
      <c r="A34" s="24" t="s">
        <v>11</v>
      </c>
      <c r="B34" s="41"/>
      <c r="C34" s="1"/>
      <c r="D34" s="1"/>
      <c r="E34" s="1"/>
      <c r="F34" s="1"/>
      <c r="G34" s="1"/>
      <c r="H34" s="1"/>
      <c r="I34" s="41"/>
      <c r="J34" s="41"/>
      <c r="K34" s="41"/>
      <c r="L34" s="41"/>
      <c r="M34" s="41"/>
      <c r="N34" s="41"/>
      <c r="O34" s="41"/>
      <c r="P34" s="41"/>
      <c r="Q34" s="41"/>
      <c r="R34" s="41"/>
      <c r="S34" s="41"/>
      <c r="T34" s="41"/>
      <c r="U34" s="41"/>
      <c r="V34" s="41"/>
      <c r="W34" s="41"/>
      <c r="X34" s="41"/>
      <c r="Y34" s="41"/>
      <c r="Z34" s="41"/>
      <c r="AA34" s="41"/>
      <c r="AB34" s="40"/>
      <c r="AC34" s="41"/>
      <c r="AD34" s="40"/>
      <c r="AE34" s="41"/>
      <c r="AF34" s="41"/>
      <c r="AG34" s="41"/>
      <c r="AH34" s="40"/>
    </row>
    <row r="35" spans="1:34" s="20" customFormat="1" ht="15" customHeight="1" x14ac:dyDescent="0.3">
      <c r="A35" s="24" t="s">
        <v>23</v>
      </c>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0"/>
      <c r="AC35" s="41"/>
      <c r="AD35" s="40"/>
      <c r="AE35" s="41"/>
      <c r="AF35" s="41"/>
      <c r="AG35" s="41"/>
      <c r="AH35" s="40"/>
    </row>
    <row r="36" spans="1:34" x14ac:dyDescent="0.3">
      <c r="A36" s="7" t="s">
        <v>252</v>
      </c>
      <c r="B36" s="7"/>
      <c r="C36" s="41"/>
      <c r="D36" s="41"/>
      <c r="E36" s="41"/>
      <c r="F36" s="41"/>
      <c r="G36" s="41"/>
      <c r="H36" s="41"/>
      <c r="I36" s="41"/>
      <c r="J36" s="41"/>
      <c r="K36" s="41"/>
      <c r="L36" s="41"/>
      <c r="M36" s="41"/>
      <c r="N36" s="41"/>
      <c r="O36" s="41"/>
      <c r="P36" s="41"/>
      <c r="Q36" s="40"/>
      <c r="R36" s="40"/>
      <c r="S36" s="40"/>
      <c r="T36" s="40"/>
      <c r="U36" s="40"/>
      <c r="V36" s="40"/>
      <c r="W36" s="40"/>
      <c r="X36" s="40"/>
      <c r="Y36" s="40"/>
      <c r="Z36" s="40"/>
      <c r="AA36" s="40"/>
      <c r="AB36" s="40"/>
      <c r="AC36" s="40"/>
      <c r="AD36" s="40"/>
      <c r="AE36" s="40"/>
      <c r="AF36" s="40"/>
      <c r="AG36" s="40"/>
      <c r="AH36" s="40"/>
    </row>
    <row r="37" spans="1:34" x14ac:dyDescent="0.3">
      <c r="A37" s="7" t="s">
        <v>253</v>
      </c>
      <c r="B37" s="7"/>
      <c r="C37" s="41"/>
      <c r="D37" s="41"/>
      <c r="E37" s="41"/>
      <c r="F37" s="41"/>
      <c r="G37" s="41"/>
      <c r="H37" s="41"/>
      <c r="I37" s="41"/>
      <c r="J37" s="41"/>
      <c r="K37" s="41"/>
      <c r="L37" s="41"/>
      <c r="M37" s="41"/>
      <c r="N37" s="41"/>
      <c r="O37" s="41"/>
      <c r="P37" s="41"/>
      <c r="Q37" s="40"/>
      <c r="R37" s="40"/>
      <c r="S37" s="40"/>
      <c r="T37" s="40"/>
      <c r="U37" s="40"/>
      <c r="V37" s="40"/>
      <c r="W37" s="40"/>
      <c r="X37" s="40"/>
      <c r="Y37" s="40"/>
      <c r="Z37" s="40"/>
      <c r="AA37" s="40"/>
      <c r="AB37" s="40"/>
      <c r="AC37" s="40"/>
      <c r="AD37" s="40"/>
      <c r="AE37" s="40"/>
      <c r="AF37" s="40"/>
      <c r="AG37" s="40"/>
      <c r="AH37" s="40"/>
    </row>
    <row r="38" spans="1:34" x14ac:dyDescent="0.3">
      <c r="A38" s="7" t="s">
        <v>254</v>
      </c>
      <c r="B38" s="7"/>
      <c r="C38" s="41"/>
      <c r="D38" s="41"/>
      <c r="E38" s="41"/>
      <c r="F38" s="41"/>
      <c r="G38" s="41"/>
      <c r="H38" s="41"/>
      <c r="I38" s="41"/>
      <c r="J38" s="41"/>
      <c r="K38" s="41"/>
      <c r="L38" s="41"/>
      <c r="M38" s="41"/>
      <c r="N38" s="41"/>
      <c r="O38" s="41"/>
      <c r="P38" s="41"/>
      <c r="Q38" s="40"/>
      <c r="R38" s="40"/>
      <c r="S38" s="40"/>
      <c r="T38" s="40"/>
      <c r="U38" s="40"/>
      <c r="V38" s="40"/>
      <c r="W38" s="40"/>
      <c r="X38" s="40"/>
      <c r="Y38" s="40"/>
      <c r="Z38" s="40"/>
      <c r="AA38" s="40"/>
      <c r="AB38" s="40"/>
      <c r="AC38" s="40"/>
      <c r="AD38" s="40"/>
      <c r="AE38" s="40"/>
      <c r="AF38" s="40"/>
      <c r="AG38" s="40"/>
      <c r="AH38" s="40"/>
    </row>
    <row r="39" spans="1:34" x14ac:dyDescent="0.3">
      <c r="A39" s="7" t="s">
        <v>255</v>
      </c>
      <c r="B39" s="7"/>
      <c r="C39" s="41"/>
      <c r="D39" s="41"/>
      <c r="E39" s="41"/>
      <c r="F39" s="41"/>
      <c r="G39" s="41"/>
      <c r="H39" s="41"/>
      <c r="I39" s="41"/>
      <c r="J39" s="41"/>
      <c r="K39" s="41"/>
      <c r="L39" s="41"/>
      <c r="M39" s="41"/>
      <c r="N39" s="41"/>
      <c r="O39" s="41"/>
      <c r="P39" s="41"/>
      <c r="Q39" s="40"/>
      <c r="R39" s="40"/>
      <c r="S39" s="40"/>
      <c r="T39" s="40"/>
      <c r="U39" s="40"/>
      <c r="V39" s="40"/>
      <c r="W39" s="40"/>
      <c r="X39" s="40"/>
      <c r="Y39" s="40"/>
      <c r="Z39" s="40"/>
      <c r="AA39" s="40"/>
      <c r="AB39" s="40"/>
      <c r="AC39" s="40"/>
      <c r="AD39" s="40"/>
      <c r="AE39" s="40"/>
      <c r="AF39" s="40"/>
      <c r="AG39" s="40"/>
      <c r="AH39" s="40"/>
    </row>
    <row r="40" spans="1:34" x14ac:dyDescent="0.3">
      <c r="A40" s="7" t="s">
        <v>256</v>
      </c>
      <c r="B40" s="7"/>
      <c r="C40" s="41"/>
      <c r="D40" s="41"/>
      <c r="E40" s="41"/>
      <c r="F40" s="41"/>
      <c r="G40" s="41"/>
      <c r="H40" s="41"/>
      <c r="I40" s="41"/>
      <c r="J40" s="41"/>
      <c r="K40" s="41"/>
      <c r="L40" s="41"/>
      <c r="M40" s="41"/>
      <c r="N40" s="41"/>
      <c r="O40" s="41"/>
      <c r="P40" s="41"/>
      <c r="Q40" s="40"/>
      <c r="R40" s="40"/>
      <c r="S40" s="40"/>
      <c r="T40" s="40"/>
      <c r="U40" s="40"/>
      <c r="V40" s="40"/>
      <c r="W40" s="40"/>
      <c r="X40" s="40"/>
      <c r="Y40" s="40"/>
      <c r="Z40" s="40"/>
      <c r="AA40" s="40"/>
      <c r="AB40" s="40"/>
      <c r="AC40" s="40"/>
      <c r="AD40" s="40"/>
      <c r="AE40" s="40"/>
      <c r="AF40" s="40"/>
      <c r="AG40" s="40"/>
      <c r="AH40" s="40"/>
    </row>
    <row r="41" spans="1:34" x14ac:dyDescent="0.3">
      <c r="A41" s="7" t="s">
        <v>257</v>
      </c>
      <c r="B41" s="7"/>
      <c r="C41" s="41"/>
      <c r="D41" s="41"/>
      <c r="E41" s="41"/>
      <c r="F41" s="41"/>
      <c r="G41" s="41"/>
      <c r="H41" s="41"/>
      <c r="I41" s="41"/>
      <c r="J41" s="41"/>
      <c r="K41" s="41"/>
      <c r="L41" s="41"/>
      <c r="M41" s="41"/>
      <c r="N41" s="41"/>
      <c r="O41" s="41"/>
      <c r="P41" s="41"/>
      <c r="Q41" s="40"/>
      <c r="R41" s="40"/>
      <c r="S41" s="40"/>
      <c r="T41" s="40"/>
      <c r="U41" s="40"/>
      <c r="V41" s="40"/>
      <c r="W41" s="40"/>
      <c r="X41" s="40"/>
      <c r="Y41" s="40"/>
      <c r="Z41" s="40"/>
      <c r="AA41" s="40"/>
      <c r="AB41" s="40"/>
      <c r="AC41" s="40"/>
      <c r="AD41" s="40"/>
      <c r="AE41" s="40"/>
      <c r="AF41" s="40"/>
      <c r="AG41" s="40"/>
      <c r="AH41" s="40"/>
    </row>
    <row r="42" spans="1:34" x14ac:dyDescent="0.3">
      <c r="A42" s="7" t="s">
        <v>258</v>
      </c>
      <c r="B42" s="7"/>
      <c r="C42" s="41"/>
      <c r="D42" s="41"/>
      <c r="E42" s="41"/>
      <c r="F42" s="41"/>
      <c r="G42" s="41"/>
      <c r="H42" s="41"/>
      <c r="I42" s="41"/>
      <c r="J42" s="41"/>
      <c r="K42" s="41"/>
      <c r="L42" s="41"/>
      <c r="M42" s="41"/>
      <c r="N42" s="41"/>
      <c r="O42" s="41"/>
      <c r="P42" s="41"/>
      <c r="Q42" s="40"/>
      <c r="R42" s="40"/>
      <c r="S42" s="40"/>
      <c r="T42" s="40"/>
      <c r="U42" s="40"/>
      <c r="V42" s="40"/>
      <c r="W42" s="40"/>
      <c r="X42" s="40"/>
      <c r="Y42" s="40"/>
      <c r="Z42" s="40"/>
      <c r="AA42" s="40"/>
      <c r="AB42" s="40"/>
      <c r="AC42" s="40"/>
      <c r="AD42" s="40"/>
      <c r="AE42" s="40"/>
      <c r="AF42" s="40"/>
      <c r="AG42" s="40"/>
      <c r="AH42" s="40"/>
    </row>
    <row r="43" spans="1:34" x14ac:dyDescent="0.3">
      <c r="A43" s="7" t="s">
        <v>24</v>
      </c>
      <c r="B43" s="7"/>
      <c r="C43" s="41"/>
      <c r="D43" s="41"/>
      <c r="E43" s="41"/>
      <c r="F43" s="41"/>
      <c r="G43" s="41"/>
      <c r="H43" s="41"/>
      <c r="I43" s="41"/>
      <c r="J43" s="41"/>
      <c r="K43" s="41"/>
      <c r="L43" s="41"/>
      <c r="M43" s="41"/>
      <c r="N43" s="41"/>
      <c r="O43" s="41"/>
      <c r="P43" s="41"/>
      <c r="Q43" s="40"/>
      <c r="R43" s="40"/>
      <c r="S43" s="40"/>
      <c r="T43" s="40"/>
      <c r="U43" s="40"/>
      <c r="V43" s="40"/>
      <c r="W43" s="40"/>
      <c r="X43" s="40"/>
      <c r="Y43" s="40"/>
      <c r="Z43" s="40"/>
      <c r="AA43" s="40"/>
      <c r="AB43" s="40"/>
      <c r="AC43" s="40"/>
      <c r="AD43" s="40"/>
      <c r="AE43" s="40"/>
      <c r="AF43" s="40"/>
      <c r="AG43" s="40"/>
      <c r="AH43" s="40"/>
    </row>
    <row r="44" spans="1:34" x14ac:dyDescent="0.3">
      <c r="A44" s="7" t="s">
        <v>103</v>
      </c>
      <c r="B44" s="7"/>
      <c r="C44" s="41"/>
      <c r="D44" s="41"/>
      <c r="E44" s="41"/>
      <c r="F44" s="41"/>
      <c r="G44" s="41"/>
      <c r="H44" s="41"/>
      <c r="I44" s="41"/>
      <c r="J44" s="41"/>
      <c r="K44" s="41"/>
      <c r="L44" s="41"/>
      <c r="M44" s="41"/>
      <c r="N44" s="41"/>
      <c r="O44" s="41"/>
      <c r="P44" s="41"/>
      <c r="Q44" s="40"/>
      <c r="R44" s="40"/>
      <c r="S44" s="40"/>
      <c r="T44" s="40"/>
      <c r="U44" s="40"/>
      <c r="V44" s="40"/>
      <c r="W44" s="40"/>
      <c r="X44" s="40"/>
      <c r="Y44" s="40"/>
      <c r="Z44" s="40"/>
      <c r="AA44" s="40"/>
      <c r="AB44" s="40"/>
      <c r="AC44" s="40"/>
      <c r="AD44" s="40"/>
      <c r="AE44" s="40"/>
      <c r="AF44" s="40"/>
      <c r="AG44" s="40"/>
      <c r="AH44" s="40"/>
    </row>
    <row r="45" spans="1:34" x14ac:dyDescent="0.3">
      <c r="A45" s="7" t="s">
        <v>259</v>
      </c>
      <c r="B45" s="7"/>
      <c r="C45" s="41"/>
      <c r="D45" s="41"/>
      <c r="E45" s="41"/>
      <c r="F45" s="41"/>
      <c r="G45" s="41"/>
      <c r="H45" s="41"/>
      <c r="I45" s="41"/>
      <c r="J45" s="41"/>
      <c r="K45" s="41"/>
      <c r="L45" s="41"/>
      <c r="M45" s="41"/>
      <c r="N45" s="41"/>
      <c r="O45" s="41"/>
      <c r="P45" s="41"/>
      <c r="Q45" s="40"/>
      <c r="R45" s="40"/>
      <c r="S45" s="40"/>
      <c r="T45" s="40"/>
      <c r="U45" s="40"/>
      <c r="V45" s="40"/>
      <c r="W45" s="40"/>
      <c r="X45" s="40"/>
      <c r="Y45" s="40"/>
      <c r="Z45" s="40"/>
      <c r="AA45" s="40"/>
      <c r="AB45" s="40"/>
      <c r="AC45" s="40"/>
      <c r="AD45" s="40"/>
      <c r="AE45" s="40"/>
      <c r="AF45" s="40"/>
      <c r="AG45" s="40"/>
      <c r="AH45" s="40"/>
    </row>
    <row r="46" spans="1:34" x14ac:dyDescent="0.3">
      <c r="A46" s="7" t="s">
        <v>260</v>
      </c>
      <c r="B46" s="7"/>
      <c r="C46" s="41"/>
      <c r="D46" s="41"/>
      <c r="E46" s="41"/>
      <c r="F46" s="41"/>
      <c r="G46" s="41"/>
      <c r="H46" s="41"/>
      <c r="I46" s="41"/>
      <c r="J46" s="41"/>
      <c r="K46" s="41"/>
      <c r="L46" s="41"/>
      <c r="M46" s="41"/>
      <c r="N46" s="41"/>
      <c r="O46" s="41"/>
      <c r="P46" s="41"/>
      <c r="Q46" s="40"/>
      <c r="R46" s="40"/>
      <c r="S46" s="40"/>
      <c r="T46" s="40"/>
      <c r="U46" s="40"/>
      <c r="V46" s="40"/>
      <c r="W46" s="40"/>
      <c r="X46" s="40"/>
      <c r="Y46" s="40"/>
      <c r="Z46" s="40"/>
      <c r="AA46" s="40"/>
      <c r="AB46" s="40"/>
      <c r="AC46" s="40"/>
      <c r="AD46" s="40"/>
      <c r="AE46" s="40"/>
      <c r="AF46" s="40"/>
      <c r="AG46" s="40"/>
      <c r="AH46" s="40"/>
    </row>
    <row r="47" spans="1:34" x14ac:dyDescent="0.3">
      <c r="A47" s="7" t="s">
        <v>261</v>
      </c>
      <c r="B47" s="7"/>
      <c r="C47" s="41"/>
      <c r="D47" s="41"/>
      <c r="E47" s="41"/>
      <c r="F47" s="41"/>
      <c r="G47" s="41"/>
      <c r="H47" s="41"/>
      <c r="I47" s="41"/>
      <c r="J47" s="41"/>
      <c r="K47" s="41"/>
      <c r="L47" s="41"/>
      <c r="M47" s="41"/>
      <c r="N47" s="41"/>
      <c r="O47" s="41"/>
      <c r="P47" s="41"/>
      <c r="Q47" s="40"/>
      <c r="R47" s="40"/>
      <c r="S47" s="40"/>
      <c r="T47" s="40"/>
      <c r="U47" s="40"/>
      <c r="V47" s="40"/>
      <c r="W47" s="40"/>
      <c r="X47" s="40"/>
      <c r="Y47" s="40"/>
      <c r="Z47" s="40"/>
      <c r="AA47" s="40"/>
      <c r="AB47" s="40"/>
      <c r="AC47" s="40"/>
      <c r="AD47" s="40"/>
      <c r="AE47" s="40"/>
      <c r="AF47" s="40"/>
      <c r="AG47" s="40"/>
      <c r="AH47" s="40"/>
    </row>
    <row r="48" spans="1:34" x14ac:dyDescent="0.3">
      <c r="A48" s="7" t="s">
        <v>262</v>
      </c>
      <c r="B48" s="7"/>
      <c r="C48" s="41"/>
      <c r="D48" s="41"/>
      <c r="E48" s="41"/>
      <c r="F48" s="41"/>
      <c r="G48" s="41"/>
      <c r="H48" s="41"/>
      <c r="I48" s="41"/>
      <c r="J48" s="41"/>
      <c r="K48" s="41"/>
      <c r="L48" s="41"/>
      <c r="M48" s="41"/>
      <c r="N48" s="41"/>
      <c r="O48" s="41"/>
      <c r="P48" s="41"/>
      <c r="Q48" s="40"/>
      <c r="R48" s="40"/>
      <c r="S48" s="40"/>
      <c r="T48" s="40"/>
      <c r="U48" s="40"/>
      <c r="V48" s="40"/>
      <c r="W48" s="40"/>
      <c r="X48" s="40"/>
      <c r="Y48" s="40"/>
      <c r="Z48" s="40"/>
      <c r="AA48" s="40"/>
      <c r="AB48" s="40"/>
      <c r="AC48" s="40"/>
      <c r="AD48" s="40"/>
      <c r="AE48" s="40"/>
      <c r="AF48" s="40"/>
      <c r="AG48" s="40"/>
      <c r="AH48" s="40"/>
    </row>
    <row r="49" spans="1:34" x14ac:dyDescent="0.3">
      <c r="A49" s="7" t="s">
        <v>263</v>
      </c>
      <c r="B49" s="7"/>
      <c r="C49" s="5" t="s">
        <v>55</v>
      </c>
      <c r="D49" s="6" t="s">
        <v>71</v>
      </c>
      <c r="E49" s="42"/>
      <c r="F49" s="5" t="s">
        <v>55</v>
      </c>
      <c r="G49" s="5" t="s">
        <v>269</v>
      </c>
      <c r="H49" s="6" t="s">
        <v>71</v>
      </c>
      <c r="I49" s="41"/>
      <c r="J49" s="41"/>
      <c r="K49" s="41"/>
      <c r="L49" s="41"/>
      <c r="M49" s="41"/>
      <c r="N49" s="41"/>
      <c r="O49" s="41"/>
      <c r="P49" s="41"/>
      <c r="Q49" s="40"/>
      <c r="R49" s="40"/>
      <c r="S49" s="40"/>
      <c r="T49" s="40"/>
      <c r="U49" s="40"/>
      <c r="V49" s="40"/>
      <c r="W49" s="40"/>
      <c r="X49" s="40"/>
      <c r="Y49" s="40"/>
      <c r="Z49" s="40"/>
      <c r="AA49" s="40"/>
      <c r="AB49" s="40"/>
      <c r="AC49" s="40"/>
      <c r="AD49" s="40"/>
      <c r="AE49" s="40"/>
      <c r="AF49" s="40"/>
      <c r="AG49" s="40"/>
      <c r="AH49" s="40"/>
    </row>
    <row r="50" spans="1:34" x14ac:dyDescent="0.3">
      <c r="A50" s="7" t="s">
        <v>264</v>
      </c>
      <c r="B50" s="7"/>
      <c r="C50" s="43" t="s">
        <v>56</v>
      </c>
      <c r="D50" s="44">
        <v>50</v>
      </c>
      <c r="E50" s="42"/>
      <c r="F50" s="43" t="s">
        <v>56</v>
      </c>
      <c r="G50" s="43" t="s">
        <v>270</v>
      </c>
      <c r="H50" s="44">
        <v>50</v>
      </c>
      <c r="I50" s="41"/>
      <c r="J50" s="41"/>
      <c r="K50" s="41"/>
      <c r="L50" s="41"/>
      <c r="M50" s="41"/>
      <c r="N50" s="41"/>
      <c r="O50" s="41"/>
      <c r="P50" s="41"/>
      <c r="Q50" s="40"/>
      <c r="R50" s="40"/>
      <c r="S50" s="40"/>
      <c r="T50" s="40"/>
      <c r="U50" s="40"/>
      <c r="V50" s="40"/>
      <c r="W50" s="40"/>
      <c r="X50" s="40"/>
      <c r="Y50" s="40"/>
      <c r="Z50" s="40"/>
      <c r="AA50" s="40"/>
      <c r="AB50" s="40"/>
      <c r="AC50" s="40"/>
      <c r="AD50" s="40"/>
      <c r="AE50" s="40"/>
      <c r="AF50" s="40"/>
      <c r="AG50" s="40"/>
      <c r="AH50" s="40"/>
    </row>
    <row r="51" spans="1:34" x14ac:dyDescent="0.3">
      <c r="A51" s="7" t="s">
        <v>265</v>
      </c>
      <c r="B51" s="7"/>
      <c r="C51" s="43" t="s">
        <v>57</v>
      </c>
      <c r="D51" s="44">
        <v>20</v>
      </c>
      <c r="E51" s="42"/>
      <c r="F51" s="43" t="s">
        <v>57</v>
      </c>
      <c r="G51" s="43" t="s">
        <v>271</v>
      </c>
      <c r="H51" s="44">
        <v>20</v>
      </c>
      <c r="I51" s="41"/>
      <c r="J51" s="41"/>
      <c r="K51" s="41"/>
      <c r="L51" s="41"/>
      <c r="M51" s="41"/>
      <c r="N51" s="41"/>
      <c r="O51" s="41"/>
      <c r="P51" s="41"/>
      <c r="Q51" s="40"/>
      <c r="R51" s="40"/>
      <c r="S51" s="40"/>
      <c r="T51" s="40"/>
      <c r="U51" s="40"/>
      <c r="V51" s="40"/>
      <c r="W51" s="40"/>
      <c r="X51" s="40"/>
      <c r="Y51" s="40"/>
      <c r="Z51" s="40"/>
      <c r="AA51" s="40"/>
      <c r="AB51" s="40"/>
      <c r="AC51" s="40"/>
      <c r="AD51" s="40"/>
      <c r="AE51" s="40"/>
      <c r="AF51" s="40"/>
      <c r="AG51" s="40"/>
      <c r="AH51" s="40"/>
    </row>
    <row r="52" spans="1:34" x14ac:dyDescent="0.3">
      <c r="A52" s="7" t="s">
        <v>266</v>
      </c>
      <c r="B52" s="7"/>
      <c r="C52" s="43" t="s">
        <v>58</v>
      </c>
      <c r="D52" s="44">
        <v>60</v>
      </c>
      <c r="E52" s="42"/>
      <c r="F52" s="43" t="s">
        <v>58</v>
      </c>
      <c r="G52" s="43" t="s">
        <v>272</v>
      </c>
      <c r="H52" s="44">
        <v>60</v>
      </c>
      <c r="I52" s="41"/>
      <c r="J52" s="41"/>
      <c r="K52" s="41"/>
      <c r="L52" s="41"/>
      <c r="M52" s="41"/>
      <c r="N52" s="41"/>
      <c r="O52" s="41"/>
      <c r="P52" s="41"/>
      <c r="Q52" s="40"/>
      <c r="R52" s="40"/>
      <c r="S52" s="40"/>
      <c r="T52" s="40"/>
      <c r="U52" s="40"/>
      <c r="V52" s="40"/>
      <c r="W52" s="40"/>
      <c r="X52" s="40"/>
      <c r="Y52" s="40"/>
      <c r="Z52" s="40"/>
      <c r="AA52" s="40"/>
      <c r="AB52" s="40"/>
      <c r="AC52" s="40"/>
      <c r="AD52" s="40"/>
      <c r="AE52" s="40"/>
      <c r="AF52" s="40"/>
      <c r="AG52" s="40"/>
      <c r="AH52" s="40"/>
    </row>
    <row r="53" spans="1:34" x14ac:dyDescent="0.3">
      <c r="A53" s="7" t="s">
        <v>29</v>
      </c>
      <c r="B53" s="7"/>
      <c r="C53" s="43" t="s">
        <v>59</v>
      </c>
      <c r="D53" s="44">
        <v>40</v>
      </c>
      <c r="E53" s="42"/>
      <c r="F53" s="43" t="s">
        <v>59</v>
      </c>
      <c r="G53" s="43" t="s">
        <v>273</v>
      </c>
      <c r="H53" s="44">
        <v>40</v>
      </c>
      <c r="I53" s="41"/>
      <c r="J53" s="41"/>
      <c r="K53" s="41"/>
      <c r="L53" s="41"/>
      <c r="M53" s="41"/>
      <c r="N53" s="41"/>
      <c r="O53" s="41"/>
      <c r="P53" s="41"/>
      <c r="Q53" s="40"/>
      <c r="R53" s="40"/>
      <c r="S53" s="40"/>
      <c r="T53" s="40"/>
      <c r="U53" s="40"/>
      <c r="V53" s="40"/>
      <c r="W53" s="40"/>
      <c r="X53" s="40"/>
      <c r="Y53" s="40"/>
      <c r="Z53" s="40"/>
      <c r="AA53" s="40"/>
      <c r="AB53" s="40"/>
      <c r="AC53" s="40"/>
      <c r="AD53" s="40"/>
      <c r="AE53" s="40"/>
      <c r="AF53" s="40"/>
      <c r="AG53" s="40"/>
      <c r="AH53" s="40"/>
    </row>
    <row r="54" spans="1:34" x14ac:dyDescent="0.3">
      <c r="A54" s="7" t="s">
        <v>53</v>
      </c>
      <c r="B54" s="7"/>
      <c r="C54" s="43" t="s">
        <v>56</v>
      </c>
      <c r="D54" s="44">
        <v>50</v>
      </c>
      <c r="E54" s="42"/>
      <c r="F54" s="43" t="s">
        <v>56</v>
      </c>
      <c r="G54" s="43" t="s">
        <v>274</v>
      </c>
      <c r="H54" s="44">
        <v>50</v>
      </c>
      <c r="I54" s="41"/>
      <c r="J54" s="41"/>
      <c r="K54" s="41"/>
      <c r="L54" s="41"/>
      <c r="M54" s="41"/>
      <c r="N54" s="41"/>
      <c r="O54" s="41"/>
      <c r="P54" s="41"/>
      <c r="Q54" s="40"/>
      <c r="R54" s="40"/>
      <c r="S54" s="40"/>
      <c r="T54" s="40"/>
      <c r="U54" s="40"/>
      <c r="V54" s="40"/>
      <c r="W54" s="40"/>
      <c r="X54" s="40"/>
      <c r="Y54" s="40"/>
      <c r="Z54" s="40"/>
      <c r="AA54" s="40"/>
      <c r="AB54" s="40"/>
      <c r="AC54" s="40"/>
      <c r="AD54" s="40"/>
      <c r="AE54" s="40"/>
      <c r="AF54" s="40"/>
      <c r="AG54" s="40"/>
      <c r="AH54" s="40"/>
    </row>
    <row r="55" spans="1:34" x14ac:dyDescent="0.3">
      <c r="A55" s="7" t="s">
        <v>23</v>
      </c>
      <c r="B55" s="7"/>
      <c r="C55" s="43" t="s">
        <v>57</v>
      </c>
      <c r="D55" s="44">
        <v>20</v>
      </c>
      <c r="E55" s="42"/>
      <c r="F55" s="43" t="s">
        <v>57</v>
      </c>
      <c r="G55" s="43" t="s">
        <v>275</v>
      </c>
      <c r="H55" s="44">
        <v>20</v>
      </c>
      <c r="I55" s="41"/>
      <c r="J55" s="41"/>
      <c r="K55" s="41"/>
      <c r="L55" s="41"/>
      <c r="M55" s="41"/>
      <c r="N55" s="41"/>
      <c r="O55" s="41"/>
      <c r="P55" s="41"/>
      <c r="Q55" s="40"/>
      <c r="R55" s="40"/>
      <c r="S55" s="40"/>
      <c r="T55" s="40"/>
      <c r="U55" s="40"/>
      <c r="V55" s="40"/>
      <c r="W55" s="40"/>
      <c r="X55" s="40"/>
      <c r="Y55" s="40"/>
      <c r="Z55" s="40"/>
      <c r="AA55" s="40"/>
      <c r="AB55" s="40"/>
      <c r="AC55" s="40"/>
      <c r="AD55" s="40"/>
      <c r="AE55" s="40"/>
      <c r="AF55" s="40"/>
      <c r="AG55" s="40"/>
      <c r="AH55" s="40"/>
    </row>
    <row r="56" spans="1:34" x14ac:dyDescent="0.3">
      <c r="B56" s="7"/>
      <c r="C56" s="43" t="s">
        <v>58</v>
      </c>
      <c r="D56" s="44">
        <v>60</v>
      </c>
      <c r="E56" s="42"/>
      <c r="F56" s="43" t="s">
        <v>58</v>
      </c>
      <c r="G56" s="43" t="s">
        <v>276</v>
      </c>
      <c r="H56" s="44">
        <v>60</v>
      </c>
      <c r="I56" s="41"/>
      <c r="J56" s="41"/>
      <c r="K56" s="41"/>
      <c r="L56" s="41"/>
      <c r="M56" s="41"/>
      <c r="N56" s="41"/>
      <c r="O56" s="41"/>
      <c r="P56" s="41"/>
      <c r="Q56" s="40"/>
      <c r="R56" s="40"/>
      <c r="S56" s="40"/>
      <c r="T56" s="40"/>
      <c r="U56" s="40"/>
      <c r="V56" s="40"/>
      <c r="W56" s="40"/>
      <c r="X56" s="40"/>
      <c r="Y56" s="40"/>
      <c r="Z56" s="40"/>
      <c r="AA56" s="40"/>
      <c r="AB56" s="40"/>
      <c r="AC56" s="40"/>
      <c r="AD56" s="40"/>
      <c r="AE56" s="40"/>
      <c r="AF56" s="40"/>
      <c r="AG56" s="40"/>
      <c r="AH56" s="40"/>
    </row>
    <row r="57" spans="1:34" x14ac:dyDescent="0.3">
      <c r="B57" s="7"/>
      <c r="C57" s="43" t="s">
        <v>59</v>
      </c>
      <c r="D57" s="44">
        <v>40</v>
      </c>
      <c r="E57" s="42"/>
      <c r="F57" s="43" t="s">
        <v>59</v>
      </c>
      <c r="G57" s="43" t="s">
        <v>277</v>
      </c>
      <c r="H57" s="44">
        <v>40</v>
      </c>
      <c r="I57" s="41"/>
      <c r="J57" s="41"/>
      <c r="K57" s="41"/>
      <c r="L57" s="41"/>
      <c r="M57" s="41"/>
      <c r="N57" s="41"/>
      <c r="O57" s="41"/>
      <c r="P57" s="41"/>
      <c r="Q57" s="40"/>
      <c r="R57" s="40"/>
      <c r="S57" s="40"/>
      <c r="T57" s="40"/>
      <c r="U57" s="40"/>
      <c r="V57" s="40"/>
      <c r="W57" s="40"/>
      <c r="X57" s="40"/>
      <c r="Y57" s="40"/>
      <c r="Z57" s="40"/>
      <c r="AA57" s="40"/>
      <c r="AB57" s="40"/>
      <c r="AC57" s="40"/>
      <c r="AD57" s="40"/>
      <c r="AE57" s="40"/>
      <c r="AF57" s="40"/>
      <c r="AG57" s="40"/>
      <c r="AH57" s="40"/>
    </row>
    <row r="58" spans="1:34" x14ac:dyDescent="0.3">
      <c r="B58" s="7"/>
      <c r="C58" s="43" t="s">
        <v>56</v>
      </c>
      <c r="D58" s="44">
        <v>50</v>
      </c>
      <c r="E58" s="42"/>
      <c r="F58" s="43" t="s">
        <v>56</v>
      </c>
      <c r="G58" s="43" t="s">
        <v>274</v>
      </c>
      <c r="H58" s="44">
        <v>50</v>
      </c>
      <c r="I58" s="41"/>
      <c r="J58" s="41"/>
      <c r="K58" s="41"/>
      <c r="L58" s="41"/>
      <c r="M58" s="41"/>
      <c r="N58" s="41"/>
      <c r="O58" s="41"/>
      <c r="P58" s="41"/>
      <c r="Q58" s="40"/>
      <c r="R58" s="40"/>
      <c r="S58" s="40"/>
      <c r="T58" s="40"/>
      <c r="U58" s="40"/>
      <c r="V58" s="40"/>
      <c r="W58" s="40"/>
      <c r="X58" s="40"/>
      <c r="Y58" s="40"/>
      <c r="Z58" s="40"/>
      <c r="AA58" s="40"/>
      <c r="AB58" s="40"/>
      <c r="AC58" s="40"/>
      <c r="AD58" s="40"/>
      <c r="AE58" s="40"/>
      <c r="AF58" s="40"/>
      <c r="AG58" s="40"/>
      <c r="AH58" s="40"/>
    </row>
    <row r="59" spans="1:34" x14ac:dyDescent="0.3">
      <c r="B59" s="7"/>
      <c r="C59" s="43" t="s">
        <v>57</v>
      </c>
      <c r="D59" s="44">
        <v>20</v>
      </c>
      <c r="E59" s="42"/>
      <c r="F59" s="43" t="s">
        <v>57</v>
      </c>
      <c r="G59" s="43" t="s">
        <v>275</v>
      </c>
      <c r="H59" s="44">
        <v>20</v>
      </c>
      <c r="I59" s="41"/>
      <c r="J59" s="41"/>
      <c r="K59" s="41"/>
      <c r="L59" s="41"/>
      <c r="M59" s="41"/>
      <c r="N59" s="41"/>
      <c r="O59" s="41"/>
      <c r="P59" s="41"/>
      <c r="Q59" s="40"/>
      <c r="R59" s="40"/>
      <c r="S59" s="40"/>
      <c r="T59" s="40"/>
      <c r="U59" s="40"/>
      <c r="V59" s="40"/>
      <c r="W59" s="40"/>
      <c r="X59" s="40"/>
      <c r="Y59" s="40"/>
      <c r="Z59" s="40"/>
      <c r="AA59" s="40"/>
      <c r="AB59" s="40"/>
      <c r="AC59" s="40"/>
      <c r="AD59" s="40"/>
      <c r="AE59" s="40"/>
      <c r="AF59" s="40"/>
      <c r="AG59" s="40"/>
      <c r="AH59" s="40"/>
    </row>
    <row r="60" spans="1:34" x14ac:dyDescent="0.3">
      <c r="B60" s="7"/>
      <c r="C60" s="43" t="s">
        <v>58</v>
      </c>
      <c r="D60" s="44">
        <v>60</v>
      </c>
      <c r="E60" s="42"/>
      <c r="F60" s="43" t="s">
        <v>58</v>
      </c>
      <c r="G60" s="43" t="s">
        <v>272</v>
      </c>
      <c r="H60" s="44">
        <v>60</v>
      </c>
      <c r="I60" s="41"/>
      <c r="J60" s="41"/>
      <c r="K60" s="41"/>
      <c r="L60" s="41"/>
      <c r="M60" s="41"/>
      <c r="N60" s="41"/>
      <c r="O60" s="41"/>
      <c r="P60" s="41"/>
      <c r="Q60" s="40"/>
      <c r="R60" s="40"/>
      <c r="S60" s="40"/>
      <c r="T60" s="40"/>
      <c r="U60" s="40"/>
      <c r="V60" s="40"/>
      <c r="W60" s="40"/>
      <c r="X60" s="40"/>
      <c r="Y60" s="40"/>
      <c r="Z60" s="40"/>
      <c r="AA60" s="40"/>
      <c r="AB60" s="40"/>
      <c r="AC60" s="40"/>
      <c r="AD60" s="40"/>
      <c r="AE60" s="40"/>
      <c r="AF60" s="40"/>
      <c r="AG60" s="40"/>
      <c r="AH60" s="40"/>
    </row>
    <row r="61" spans="1:34" x14ac:dyDescent="0.3">
      <c r="B61" s="7"/>
      <c r="C61" s="43" t="s">
        <v>59</v>
      </c>
      <c r="D61" s="44">
        <v>40</v>
      </c>
      <c r="E61" s="42"/>
      <c r="F61" s="43" t="s">
        <v>59</v>
      </c>
      <c r="G61" s="43" t="s">
        <v>277</v>
      </c>
      <c r="H61" s="44">
        <v>40</v>
      </c>
      <c r="I61" s="41"/>
      <c r="J61" s="41"/>
      <c r="K61" s="41"/>
      <c r="L61" s="41"/>
      <c r="M61" s="41"/>
      <c r="N61" s="41"/>
      <c r="O61" s="41"/>
      <c r="P61" s="41"/>
      <c r="Q61" s="40"/>
      <c r="R61" s="40"/>
      <c r="S61" s="40"/>
      <c r="T61" s="40"/>
      <c r="U61" s="40"/>
      <c r="V61" s="40"/>
      <c r="W61" s="40"/>
      <c r="X61" s="40"/>
      <c r="Y61" s="40"/>
      <c r="Z61" s="40"/>
      <c r="AA61" s="40"/>
      <c r="AB61" s="40"/>
      <c r="AC61" s="40"/>
      <c r="AD61" s="40"/>
      <c r="AE61" s="40"/>
      <c r="AF61" s="40"/>
      <c r="AG61" s="40"/>
      <c r="AH61" s="40"/>
    </row>
    <row r="62" spans="1:34" x14ac:dyDescent="0.3">
      <c r="B62" s="7"/>
      <c r="C62" s="21"/>
      <c r="D62" s="21"/>
      <c r="E62" s="21"/>
      <c r="F62" s="21"/>
      <c r="G62" s="21"/>
      <c r="H62" s="21"/>
      <c r="I62" s="41"/>
      <c r="J62" s="41"/>
      <c r="K62" s="41"/>
      <c r="L62" s="41"/>
      <c r="M62" s="41"/>
      <c r="N62" s="41"/>
      <c r="O62" s="41"/>
      <c r="P62" s="41"/>
      <c r="Q62" s="40"/>
      <c r="R62" s="40"/>
      <c r="S62" s="40"/>
      <c r="T62" s="40"/>
      <c r="U62" s="40"/>
      <c r="V62" s="40"/>
      <c r="W62" s="40"/>
      <c r="X62" s="40"/>
      <c r="Y62" s="40"/>
      <c r="Z62" s="40"/>
      <c r="AA62" s="40"/>
      <c r="AB62" s="40"/>
      <c r="AC62" s="40"/>
      <c r="AD62" s="40"/>
      <c r="AE62" s="40"/>
      <c r="AF62" s="40"/>
      <c r="AG62" s="40"/>
      <c r="AH62" s="40"/>
    </row>
    <row r="63" spans="1:34" ht="15" thickBot="1" x14ac:dyDescent="0.35">
      <c r="B63" s="7"/>
      <c r="C63" s="41" t="s">
        <v>55</v>
      </c>
      <c r="D63" s="23" t="s">
        <v>268</v>
      </c>
      <c r="E63" s="42"/>
      <c r="F63" s="41" t="s">
        <v>55</v>
      </c>
      <c r="G63" s="41" t="s">
        <v>269</v>
      </c>
      <c r="H63" s="23" t="s">
        <v>280</v>
      </c>
      <c r="I63" s="41"/>
      <c r="J63" s="41"/>
      <c r="K63" s="41"/>
      <c r="L63" s="41"/>
      <c r="M63" s="41"/>
      <c r="N63" s="41"/>
      <c r="O63" s="41"/>
      <c r="P63" s="41"/>
      <c r="Q63" s="40"/>
      <c r="R63" s="40"/>
      <c r="S63" s="40"/>
      <c r="T63" s="40"/>
      <c r="U63" s="40"/>
      <c r="V63" s="40"/>
      <c r="W63" s="40"/>
      <c r="X63" s="40"/>
      <c r="Y63" s="40"/>
      <c r="Z63" s="40"/>
      <c r="AA63" s="40"/>
      <c r="AB63" s="40"/>
      <c r="AC63" s="40"/>
      <c r="AD63" s="40"/>
      <c r="AE63" s="40"/>
      <c r="AF63" s="40"/>
      <c r="AG63" s="40"/>
      <c r="AH63" s="40"/>
    </row>
    <row r="64" spans="1:34" ht="15.6" thickTop="1" thickBot="1" x14ac:dyDescent="0.35">
      <c r="B64" s="7"/>
      <c r="C64" s="49" t="s">
        <v>56</v>
      </c>
      <c r="D64" s="50">
        <f>COUNTIF(C50:C61,C64)</f>
        <v>3</v>
      </c>
      <c r="E64" s="42"/>
      <c r="F64" s="49" t="s">
        <v>57</v>
      </c>
      <c r="G64" s="49" t="s">
        <v>271</v>
      </c>
      <c r="H64" s="45">
        <f>COUNTIFS(F50:F61,F64,G50:G61,G64)</f>
        <v>1</v>
      </c>
      <c r="I64" s="41"/>
      <c r="J64" s="41"/>
      <c r="K64" s="41"/>
      <c r="L64" s="41"/>
      <c r="M64" s="41"/>
      <c r="N64" s="41"/>
      <c r="O64" s="41"/>
      <c r="P64" s="41"/>
      <c r="Q64" s="40"/>
      <c r="R64" s="40"/>
      <c r="S64" s="40"/>
      <c r="T64" s="40"/>
      <c r="U64" s="40"/>
      <c r="V64" s="40"/>
      <c r="W64" s="40"/>
      <c r="X64" s="40"/>
      <c r="Y64" s="40"/>
      <c r="Z64" s="40"/>
      <c r="AA64" s="40"/>
      <c r="AB64" s="40"/>
      <c r="AC64" s="40"/>
      <c r="AD64" s="40"/>
      <c r="AE64" s="40"/>
      <c r="AF64" s="40"/>
      <c r="AG64" s="40"/>
      <c r="AH64" s="40"/>
    </row>
    <row r="65" spans="2:34" ht="15" thickTop="1" x14ac:dyDescent="0.3">
      <c r="B65" s="7"/>
      <c r="C65" s="41"/>
      <c r="D65" s="41"/>
      <c r="E65" s="42"/>
      <c r="F65" s="41"/>
      <c r="G65" s="41"/>
      <c r="H65" s="41"/>
      <c r="I65" s="41"/>
      <c r="J65" s="41"/>
      <c r="K65" s="41"/>
      <c r="L65" s="41"/>
      <c r="M65" s="41"/>
      <c r="N65" s="41"/>
      <c r="O65" s="41"/>
      <c r="P65" s="41"/>
      <c r="Q65" s="40"/>
      <c r="R65" s="40"/>
      <c r="S65" s="40"/>
      <c r="T65" s="40"/>
      <c r="U65" s="40"/>
      <c r="V65" s="40"/>
      <c r="W65" s="40"/>
      <c r="X65" s="40"/>
      <c r="Y65" s="40"/>
      <c r="Z65" s="40"/>
      <c r="AA65" s="40"/>
      <c r="AB65" s="40"/>
      <c r="AC65" s="40"/>
      <c r="AD65" s="40"/>
      <c r="AE65" s="40"/>
      <c r="AF65" s="40"/>
      <c r="AG65" s="40"/>
      <c r="AH65" s="40"/>
    </row>
    <row r="66" spans="2:34" x14ac:dyDescent="0.3">
      <c r="B66" s="7"/>
      <c r="C66" s="1"/>
      <c r="D66" s="1"/>
      <c r="E66" s="1"/>
      <c r="F66" s="1"/>
      <c r="G66" s="1"/>
      <c r="H66" s="1"/>
      <c r="I66" s="41"/>
      <c r="J66" s="41"/>
      <c r="K66" s="41"/>
      <c r="L66" s="41"/>
      <c r="M66" s="41"/>
      <c r="N66" s="41"/>
      <c r="O66" s="41"/>
      <c r="P66" s="41"/>
      <c r="Q66" s="40"/>
      <c r="R66" s="40"/>
      <c r="S66" s="40"/>
      <c r="T66" s="40"/>
      <c r="U66" s="40"/>
      <c r="V66" s="40"/>
      <c r="W66" s="40"/>
      <c r="X66" s="40"/>
      <c r="Y66" s="40"/>
      <c r="Z66" s="40"/>
      <c r="AA66" s="40"/>
      <c r="AB66" s="40"/>
      <c r="AC66" s="40"/>
      <c r="AD66" s="40"/>
      <c r="AE66" s="40"/>
      <c r="AF66" s="40"/>
      <c r="AG66" s="40"/>
      <c r="AH66" s="40"/>
    </row>
    <row r="67" spans="2:34" x14ac:dyDescent="0.3">
      <c r="B67" s="7"/>
      <c r="C67" s="1"/>
      <c r="D67" s="1"/>
      <c r="E67" s="1"/>
      <c r="F67" s="1"/>
      <c r="G67" s="1"/>
      <c r="H67" s="1"/>
      <c r="I67" s="41"/>
      <c r="J67" s="41"/>
      <c r="K67" s="41"/>
      <c r="L67" s="41"/>
      <c r="M67" s="41"/>
      <c r="N67" s="41"/>
      <c r="O67" s="41"/>
      <c r="P67" s="41"/>
      <c r="Q67" s="40"/>
      <c r="R67" s="40"/>
      <c r="S67" s="40"/>
      <c r="T67" s="40"/>
      <c r="U67" s="40"/>
      <c r="V67" s="40"/>
      <c r="W67" s="40"/>
      <c r="X67" s="40"/>
      <c r="Y67" s="40"/>
      <c r="Z67" s="40"/>
      <c r="AA67" s="40"/>
      <c r="AB67" s="40"/>
      <c r="AC67" s="40"/>
      <c r="AD67" s="40"/>
      <c r="AE67" s="40"/>
      <c r="AF67" s="40"/>
      <c r="AG67" s="40"/>
      <c r="AH67" s="40"/>
    </row>
    <row r="68" spans="2:34" x14ac:dyDescent="0.3">
      <c r="B68" s="7"/>
      <c r="C68" s="1"/>
      <c r="D68" s="1"/>
      <c r="E68" s="1"/>
      <c r="F68" s="1"/>
      <c r="G68" s="1"/>
      <c r="H68" s="1"/>
      <c r="I68" s="41"/>
      <c r="J68" s="41"/>
      <c r="K68" s="41"/>
      <c r="L68" s="41"/>
      <c r="M68" s="41"/>
      <c r="N68" s="41"/>
      <c r="O68" s="41"/>
      <c r="P68" s="41"/>
      <c r="Q68" s="40"/>
      <c r="R68" s="40"/>
      <c r="S68" s="40"/>
      <c r="T68" s="40"/>
      <c r="U68" s="40"/>
      <c r="V68" s="40"/>
      <c r="W68" s="40"/>
      <c r="X68" s="40"/>
      <c r="Y68" s="40"/>
      <c r="Z68" s="40"/>
      <c r="AA68" s="40"/>
      <c r="AB68" s="40"/>
      <c r="AC68" s="40"/>
      <c r="AD68" s="40"/>
      <c r="AE68" s="40"/>
      <c r="AF68" s="40"/>
      <c r="AG68" s="40"/>
      <c r="AH68" s="40"/>
    </row>
    <row r="69" spans="2:34" x14ac:dyDescent="0.3">
      <c r="B69" s="7"/>
      <c r="C69" s="1"/>
      <c r="D69" s="1"/>
      <c r="E69" s="1"/>
      <c r="F69" s="1"/>
      <c r="G69" s="1"/>
      <c r="H69" s="1"/>
      <c r="I69" s="41"/>
      <c r="J69" s="41"/>
      <c r="K69" s="41"/>
      <c r="L69" s="41"/>
      <c r="M69" s="41"/>
      <c r="N69" s="41"/>
      <c r="O69" s="41"/>
      <c r="P69" s="41"/>
      <c r="Q69" s="40"/>
      <c r="R69" s="40"/>
      <c r="S69" s="40"/>
      <c r="T69" s="40"/>
      <c r="U69" s="40"/>
      <c r="V69" s="40"/>
      <c r="W69" s="40"/>
      <c r="X69" s="40"/>
      <c r="Y69" s="40"/>
      <c r="Z69" s="40"/>
      <c r="AA69" s="40"/>
      <c r="AB69" s="40"/>
      <c r="AC69" s="40"/>
      <c r="AD69" s="40"/>
      <c r="AE69" s="40"/>
      <c r="AF69" s="40"/>
      <c r="AG69" s="40"/>
      <c r="AH69" s="40"/>
    </row>
    <row r="70" spans="2:34" x14ac:dyDescent="0.3">
      <c r="B70" s="7"/>
      <c r="C70" s="1"/>
      <c r="D70" s="1"/>
      <c r="E70" s="1"/>
      <c r="F70" s="1"/>
      <c r="G70" s="1"/>
      <c r="H70" s="1"/>
      <c r="I70" s="41"/>
      <c r="J70" s="41"/>
      <c r="K70" s="41"/>
      <c r="L70" s="41"/>
      <c r="M70" s="41"/>
      <c r="N70" s="41"/>
      <c r="O70" s="41"/>
      <c r="P70" s="41"/>
      <c r="Q70" s="40"/>
      <c r="R70" s="40"/>
      <c r="S70" s="40"/>
      <c r="T70" s="40"/>
      <c r="U70" s="40"/>
      <c r="V70" s="40"/>
      <c r="W70" s="40"/>
      <c r="X70" s="40"/>
      <c r="Y70" s="40"/>
      <c r="Z70" s="40"/>
      <c r="AA70" s="40"/>
      <c r="AB70" s="40"/>
      <c r="AC70" s="40"/>
      <c r="AD70" s="40"/>
      <c r="AE70" s="40"/>
      <c r="AF70" s="40"/>
      <c r="AG70" s="40"/>
      <c r="AH70" s="40"/>
    </row>
    <row r="71" spans="2:34" x14ac:dyDescent="0.3">
      <c r="B71" s="7"/>
      <c r="C71" s="1"/>
      <c r="D71" s="1"/>
      <c r="E71" s="1"/>
      <c r="F71" s="1"/>
      <c r="G71" s="1"/>
      <c r="H71" s="1"/>
      <c r="I71" s="41"/>
      <c r="J71" s="41"/>
      <c r="K71" s="41"/>
      <c r="L71" s="41"/>
      <c r="M71" s="41"/>
      <c r="N71" s="41"/>
      <c r="O71" s="41"/>
      <c r="P71" s="41"/>
      <c r="Q71" s="40"/>
      <c r="R71" s="40"/>
      <c r="S71" s="40"/>
      <c r="T71" s="40"/>
      <c r="U71" s="40"/>
      <c r="V71" s="40"/>
      <c r="W71" s="40"/>
      <c r="X71" s="40"/>
      <c r="Y71" s="40"/>
      <c r="Z71" s="40"/>
      <c r="AA71" s="40"/>
      <c r="AB71" s="40"/>
      <c r="AC71" s="40"/>
      <c r="AD71" s="40"/>
      <c r="AE71" s="40"/>
      <c r="AF71" s="40"/>
      <c r="AG71" s="40"/>
      <c r="AH71" s="40"/>
    </row>
    <row r="72" spans="2:34" x14ac:dyDescent="0.3">
      <c r="B72" s="7"/>
      <c r="C72" s="1"/>
      <c r="D72" s="1"/>
      <c r="E72" s="1"/>
      <c r="F72" s="1"/>
      <c r="G72" s="1"/>
      <c r="H72" s="1"/>
      <c r="I72" s="41"/>
      <c r="J72" s="41"/>
      <c r="K72" s="41"/>
      <c r="L72" s="41"/>
      <c r="M72" s="41"/>
      <c r="N72" s="41"/>
      <c r="O72" s="41"/>
      <c r="P72" s="41"/>
      <c r="Q72" s="40"/>
      <c r="R72" s="40"/>
      <c r="S72" s="40"/>
      <c r="T72" s="40"/>
      <c r="U72" s="40"/>
      <c r="V72" s="40"/>
      <c r="W72" s="40"/>
      <c r="X72" s="40"/>
      <c r="Y72" s="40"/>
      <c r="Z72" s="40"/>
      <c r="AA72" s="40"/>
      <c r="AB72" s="40"/>
      <c r="AC72" s="40"/>
      <c r="AD72" s="40"/>
      <c r="AE72" s="40"/>
      <c r="AF72" s="40"/>
      <c r="AG72" s="40"/>
      <c r="AH72" s="40"/>
    </row>
    <row r="73" spans="2:34" x14ac:dyDescent="0.3">
      <c r="B73" s="7"/>
      <c r="C73" s="1"/>
      <c r="D73" s="1"/>
      <c r="E73" s="1"/>
      <c r="F73" s="1"/>
      <c r="G73" s="1"/>
      <c r="H73" s="1"/>
      <c r="I73" s="41"/>
      <c r="J73" s="41"/>
      <c r="K73" s="41"/>
      <c r="L73" s="41"/>
      <c r="M73" s="41"/>
      <c r="N73" s="41"/>
      <c r="O73" s="41"/>
      <c r="P73" s="41"/>
      <c r="Q73" s="40"/>
      <c r="R73" s="40"/>
      <c r="S73" s="40"/>
      <c r="T73" s="40"/>
      <c r="U73" s="40"/>
      <c r="V73" s="40"/>
      <c r="W73" s="40"/>
      <c r="X73" s="40"/>
      <c r="Y73" s="40"/>
      <c r="Z73" s="40"/>
      <c r="AA73" s="40"/>
      <c r="AB73" s="40"/>
      <c r="AC73" s="40"/>
      <c r="AD73" s="40"/>
      <c r="AE73" s="40"/>
      <c r="AF73" s="40"/>
      <c r="AG73" s="40"/>
      <c r="AH73" s="40"/>
    </row>
    <row r="74" spans="2:34" x14ac:dyDescent="0.3">
      <c r="B74" s="7"/>
      <c r="C74" s="1"/>
      <c r="D74" s="1"/>
      <c r="E74" s="1"/>
      <c r="F74" s="1"/>
      <c r="G74" s="1"/>
      <c r="H74" s="1"/>
      <c r="I74" s="41"/>
      <c r="J74" s="41"/>
      <c r="K74" s="41"/>
      <c r="L74" s="41"/>
      <c r="M74" s="41"/>
      <c r="N74" s="41"/>
      <c r="O74" s="41"/>
      <c r="P74" s="41"/>
      <c r="Q74" s="40"/>
      <c r="R74" s="40"/>
      <c r="S74" s="40"/>
      <c r="T74" s="40"/>
      <c r="U74" s="40"/>
      <c r="V74" s="40"/>
      <c r="W74" s="40"/>
      <c r="X74" s="40"/>
      <c r="Y74" s="40"/>
      <c r="Z74" s="40"/>
      <c r="AA74" s="40"/>
      <c r="AB74" s="40"/>
      <c r="AC74" s="40"/>
      <c r="AD74" s="40"/>
      <c r="AE74" s="40"/>
      <c r="AF74" s="40"/>
      <c r="AG74" s="40"/>
      <c r="AH74" s="40"/>
    </row>
    <row r="75" spans="2:34" x14ac:dyDescent="0.3">
      <c r="B75" s="7"/>
      <c r="C75" s="1"/>
      <c r="D75" s="1"/>
      <c r="E75" s="1"/>
      <c r="F75" s="1"/>
      <c r="G75" s="1"/>
      <c r="H75" s="1"/>
      <c r="I75" s="41"/>
      <c r="J75" s="41"/>
      <c r="K75" s="41"/>
      <c r="L75" s="41"/>
      <c r="M75" s="41"/>
      <c r="N75" s="41"/>
      <c r="O75" s="41"/>
      <c r="P75" s="41"/>
      <c r="Q75" s="40"/>
      <c r="R75" s="40"/>
      <c r="S75" s="40"/>
      <c r="T75" s="40"/>
      <c r="U75" s="40"/>
      <c r="V75" s="40"/>
      <c r="W75" s="40"/>
      <c r="X75" s="40"/>
      <c r="Y75" s="40"/>
      <c r="Z75" s="40"/>
      <c r="AA75" s="40"/>
      <c r="AB75" s="40"/>
      <c r="AC75" s="40"/>
      <c r="AD75" s="40"/>
      <c r="AE75" s="40"/>
      <c r="AF75" s="40"/>
      <c r="AG75" s="40"/>
      <c r="AH75" s="40"/>
    </row>
    <row r="76" spans="2:34" x14ac:dyDescent="0.3">
      <c r="B76" s="7"/>
      <c r="C76" s="1"/>
      <c r="D76" s="1"/>
      <c r="E76" s="1"/>
      <c r="F76" s="1"/>
      <c r="G76" s="1"/>
      <c r="H76" s="1"/>
      <c r="I76" s="41"/>
      <c r="J76" s="41"/>
      <c r="K76" s="41"/>
      <c r="L76" s="41"/>
      <c r="M76" s="41"/>
      <c r="N76" s="41"/>
      <c r="O76" s="41"/>
      <c r="P76" s="41"/>
      <c r="Q76" s="40"/>
      <c r="R76" s="40"/>
      <c r="S76" s="40"/>
      <c r="T76" s="40"/>
      <c r="U76" s="40"/>
      <c r="V76" s="40"/>
      <c r="W76" s="40"/>
      <c r="X76" s="40"/>
      <c r="Y76" s="40"/>
      <c r="Z76" s="40"/>
      <c r="AA76" s="40"/>
      <c r="AB76" s="40"/>
      <c r="AC76" s="40"/>
      <c r="AD76" s="40"/>
      <c r="AE76" s="40"/>
      <c r="AF76" s="40"/>
      <c r="AG76" s="40"/>
      <c r="AH76" s="40"/>
    </row>
    <row r="77" spans="2:34" x14ac:dyDescent="0.3">
      <c r="B77" s="7"/>
      <c r="C77" s="1"/>
      <c r="D77" s="1"/>
      <c r="E77" s="1"/>
      <c r="F77" s="1"/>
      <c r="G77" s="1"/>
      <c r="H77" s="1"/>
      <c r="I77" s="41"/>
      <c r="J77" s="41"/>
      <c r="K77" s="41"/>
      <c r="L77" s="41"/>
      <c r="M77" s="41"/>
      <c r="N77" s="41"/>
      <c r="O77" s="41"/>
      <c r="P77" s="41"/>
      <c r="Q77" s="40"/>
      <c r="R77" s="40"/>
      <c r="S77" s="40"/>
      <c r="T77" s="40"/>
      <c r="U77" s="40"/>
      <c r="V77" s="40"/>
      <c r="W77" s="40"/>
      <c r="X77" s="40"/>
      <c r="Y77" s="40"/>
      <c r="Z77" s="40"/>
      <c r="AA77" s="40"/>
      <c r="AB77" s="40"/>
      <c r="AC77" s="40"/>
      <c r="AD77" s="40"/>
      <c r="AE77" s="40"/>
      <c r="AF77" s="40"/>
      <c r="AG77" s="40"/>
      <c r="AH77" s="40"/>
    </row>
    <row r="78" spans="2:34" x14ac:dyDescent="0.3">
      <c r="B78" s="7"/>
      <c r="C78" s="1"/>
      <c r="D78" s="1"/>
      <c r="E78" s="1"/>
      <c r="F78" s="1"/>
      <c r="G78" s="1"/>
      <c r="H78" s="1"/>
      <c r="I78" s="41"/>
      <c r="J78" s="41"/>
      <c r="K78" s="41"/>
      <c r="L78" s="41"/>
      <c r="M78" s="41"/>
      <c r="N78" s="41"/>
      <c r="O78" s="41"/>
      <c r="P78" s="41"/>
      <c r="Q78" s="40"/>
      <c r="R78" s="40"/>
      <c r="S78" s="40"/>
      <c r="T78" s="40"/>
      <c r="U78" s="40"/>
      <c r="V78" s="40"/>
      <c r="W78" s="40"/>
      <c r="X78" s="40"/>
      <c r="Y78" s="40"/>
      <c r="Z78" s="40"/>
      <c r="AA78" s="40"/>
      <c r="AB78" s="40"/>
      <c r="AC78" s="40"/>
      <c r="AD78" s="40"/>
      <c r="AE78" s="40"/>
      <c r="AF78" s="40"/>
      <c r="AG78" s="40"/>
      <c r="AH78" s="40"/>
    </row>
    <row r="79" spans="2:34" x14ac:dyDescent="0.3">
      <c r="B79" s="7"/>
      <c r="C79" s="1"/>
      <c r="D79" s="1"/>
      <c r="E79" s="1"/>
      <c r="F79" s="1"/>
      <c r="G79" s="1"/>
      <c r="H79" s="1"/>
      <c r="I79" s="41"/>
      <c r="J79" s="41"/>
      <c r="K79" s="41"/>
      <c r="L79" s="41"/>
      <c r="M79" s="41"/>
      <c r="N79" s="41"/>
      <c r="O79" s="41"/>
      <c r="P79" s="41"/>
      <c r="Q79" s="40"/>
      <c r="R79" s="40"/>
      <c r="S79" s="40"/>
      <c r="T79" s="40"/>
      <c r="U79" s="40"/>
      <c r="V79" s="40"/>
      <c r="W79" s="40"/>
      <c r="X79" s="40"/>
      <c r="Y79" s="40"/>
      <c r="Z79" s="40"/>
      <c r="AA79" s="40"/>
      <c r="AB79" s="40"/>
      <c r="AC79" s="40"/>
      <c r="AD79" s="40"/>
      <c r="AE79" s="40"/>
      <c r="AF79" s="40"/>
      <c r="AG79" s="40"/>
      <c r="AH79" s="40"/>
    </row>
    <row r="80" spans="2:34" x14ac:dyDescent="0.3">
      <c r="B80" s="7"/>
      <c r="C80" s="1"/>
      <c r="D80" s="1"/>
      <c r="E80" s="1"/>
      <c r="F80" s="1"/>
      <c r="G80" s="1"/>
      <c r="H80" s="1"/>
      <c r="I80" s="41"/>
      <c r="J80" s="41"/>
      <c r="K80" s="41"/>
      <c r="L80" s="41"/>
      <c r="M80" s="41"/>
      <c r="N80" s="41"/>
      <c r="O80" s="41"/>
      <c r="P80" s="41"/>
      <c r="Q80" s="40"/>
      <c r="R80" s="40"/>
      <c r="S80" s="40"/>
      <c r="T80" s="40"/>
      <c r="U80" s="40"/>
      <c r="V80" s="40"/>
      <c r="W80" s="40"/>
      <c r="X80" s="40"/>
      <c r="Y80" s="40"/>
      <c r="Z80" s="40"/>
      <c r="AA80" s="40"/>
      <c r="AB80" s="40"/>
      <c r="AC80" s="40"/>
      <c r="AD80" s="40"/>
      <c r="AE80" s="40"/>
      <c r="AF80" s="40"/>
      <c r="AG80" s="40"/>
      <c r="AH80" s="40"/>
    </row>
    <row r="81" spans="2:34" x14ac:dyDescent="0.3">
      <c r="B81" s="7"/>
      <c r="C81" s="1"/>
      <c r="D81" s="1"/>
      <c r="E81" s="1"/>
      <c r="F81" s="1"/>
      <c r="G81" s="1"/>
      <c r="H81" s="1"/>
      <c r="I81" s="41"/>
      <c r="J81" s="41"/>
      <c r="K81" s="41"/>
      <c r="L81" s="41"/>
      <c r="M81" s="41"/>
      <c r="N81" s="41"/>
      <c r="O81" s="41"/>
      <c r="P81" s="41"/>
      <c r="Q81" s="40"/>
      <c r="R81" s="40"/>
      <c r="S81" s="40"/>
      <c r="T81" s="40"/>
      <c r="U81" s="40"/>
      <c r="V81" s="40"/>
      <c r="W81" s="40"/>
      <c r="X81" s="40"/>
      <c r="Y81" s="40"/>
      <c r="Z81" s="40"/>
      <c r="AA81" s="40"/>
      <c r="AB81" s="40"/>
      <c r="AC81" s="40"/>
      <c r="AD81" s="40"/>
      <c r="AE81" s="40"/>
      <c r="AF81" s="40"/>
      <c r="AG81" s="40"/>
      <c r="AH81" s="40"/>
    </row>
    <row r="82" spans="2:34" x14ac:dyDescent="0.3">
      <c r="B82" s="7"/>
      <c r="F82" s="41"/>
      <c r="G82" s="41"/>
      <c r="H82" s="41"/>
      <c r="I82" s="41"/>
      <c r="J82" s="41"/>
      <c r="K82" s="41"/>
      <c r="L82" s="41"/>
      <c r="M82" s="41"/>
      <c r="N82" s="41"/>
      <c r="O82" s="41"/>
      <c r="P82" s="41"/>
      <c r="Q82" s="40"/>
      <c r="R82" s="40"/>
      <c r="S82" s="40"/>
      <c r="T82" s="40"/>
      <c r="U82" s="40"/>
      <c r="V82" s="40"/>
      <c r="W82" s="40"/>
      <c r="X82" s="40"/>
      <c r="Y82" s="40"/>
      <c r="Z82" s="40"/>
      <c r="AA82" s="40"/>
      <c r="AB82" s="40"/>
      <c r="AC82" s="40"/>
      <c r="AD82" s="40"/>
      <c r="AE82" s="40"/>
      <c r="AF82" s="40"/>
      <c r="AG82" s="40"/>
      <c r="AH82" s="40"/>
    </row>
    <row r="83" spans="2:34" x14ac:dyDescent="0.3">
      <c r="B83" s="7"/>
      <c r="F83" s="41"/>
      <c r="G83" s="41"/>
      <c r="H83" s="41"/>
      <c r="I83" s="41"/>
      <c r="J83" s="41"/>
      <c r="K83" s="41"/>
      <c r="L83" s="41"/>
      <c r="M83" s="41"/>
      <c r="N83" s="41"/>
      <c r="O83" s="41"/>
      <c r="P83" s="41"/>
      <c r="Q83" s="40"/>
      <c r="R83" s="40"/>
      <c r="S83" s="40"/>
      <c r="T83" s="40"/>
      <c r="U83" s="40"/>
      <c r="V83" s="40"/>
      <c r="W83" s="40"/>
      <c r="X83" s="40"/>
      <c r="Y83" s="40"/>
      <c r="Z83" s="40"/>
      <c r="AA83" s="40"/>
      <c r="AB83" s="40"/>
      <c r="AC83" s="40"/>
      <c r="AD83" s="40"/>
      <c r="AE83" s="40"/>
      <c r="AF83" s="40"/>
      <c r="AG83" s="40"/>
      <c r="AH83" s="40"/>
    </row>
    <row r="84" spans="2:34" x14ac:dyDescent="0.3">
      <c r="B84" s="7"/>
      <c r="F84" s="41"/>
      <c r="G84" s="41"/>
      <c r="H84" s="41"/>
      <c r="I84" s="41"/>
      <c r="J84" s="41"/>
      <c r="K84" s="41"/>
      <c r="L84" s="41"/>
      <c r="M84" s="41"/>
      <c r="N84" s="41"/>
      <c r="O84" s="41"/>
      <c r="P84" s="41"/>
      <c r="Q84" s="40"/>
      <c r="R84" s="40"/>
      <c r="S84" s="40"/>
      <c r="T84" s="40"/>
      <c r="U84" s="40"/>
      <c r="V84" s="40"/>
      <c r="W84" s="40"/>
      <c r="X84" s="40"/>
      <c r="Y84" s="40"/>
      <c r="Z84" s="40"/>
      <c r="AA84" s="40"/>
      <c r="AB84" s="40"/>
      <c r="AC84" s="40"/>
      <c r="AD84" s="40"/>
      <c r="AE84" s="40"/>
      <c r="AF84" s="40"/>
      <c r="AG84" s="40"/>
      <c r="AH84" s="40"/>
    </row>
    <row r="85" spans="2:34" x14ac:dyDescent="0.3">
      <c r="B85" s="7"/>
      <c r="F85" s="41"/>
      <c r="G85" s="41"/>
      <c r="H85" s="41"/>
      <c r="I85" s="41"/>
      <c r="J85" s="41"/>
      <c r="K85" s="41"/>
      <c r="L85" s="41"/>
      <c r="M85" s="41"/>
      <c r="N85" s="41"/>
      <c r="O85" s="41"/>
      <c r="P85" s="41"/>
      <c r="Q85" s="40"/>
      <c r="R85" s="40"/>
      <c r="S85" s="40"/>
      <c r="T85" s="40"/>
      <c r="U85" s="40"/>
      <c r="V85" s="40"/>
      <c r="W85" s="40"/>
      <c r="X85" s="40"/>
      <c r="Y85" s="40"/>
      <c r="Z85" s="40"/>
      <c r="AA85" s="40"/>
      <c r="AB85" s="40"/>
      <c r="AC85" s="40"/>
      <c r="AD85" s="40"/>
      <c r="AE85" s="40"/>
      <c r="AF85" s="40"/>
      <c r="AG85" s="40"/>
      <c r="AH85" s="40"/>
    </row>
    <row r="86" spans="2:34" x14ac:dyDescent="0.3">
      <c r="B86" s="7"/>
      <c r="F86" s="41"/>
      <c r="G86" s="41"/>
      <c r="H86" s="41"/>
      <c r="I86" s="41"/>
      <c r="J86" s="41"/>
      <c r="K86" s="41"/>
      <c r="L86" s="41"/>
      <c r="M86" s="41"/>
      <c r="N86" s="41"/>
      <c r="O86" s="41"/>
      <c r="P86" s="41"/>
      <c r="Q86" s="40"/>
      <c r="R86" s="40"/>
      <c r="S86" s="40"/>
      <c r="T86" s="40"/>
      <c r="U86" s="40"/>
      <c r="V86" s="40"/>
      <c r="W86" s="40"/>
      <c r="X86" s="40"/>
      <c r="Y86" s="40"/>
      <c r="Z86" s="40"/>
      <c r="AA86" s="40"/>
      <c r="AB86" s="40"/>
      <c r="AC86" s="40"/>
      <c r="AD86" s="40"/>
      <c r="AE86" s="40"/>
      <c r="AF86" s="40"/>
      <c r="AG86" s="40"/>
      <c r="AH86" s="40"/>
    </row>
    <row r="87" spans="2:34" x14ac:dyDescent="0.3">
      <c r="B87" s="7"/>
      <c r="F87" s="41"/>
      <c r="G87" s="41"/>
      <c r="H87" s="41"/>
      <c r="I87" s="41"/>
      <c r="J87" s="41"/>
      <c r="K87" s="41"/>
      <c r="L87" s="41"/>
      <c r="M87" s="41"/>
      <c r="N87" s="41"/>
      <c r="O87" s="41"/>
      <c r="P87" s="41"/>
      <c r="Q87" s="40"/>
      <c r="R87" s="40"/>
      <c r="S87" s="40"/>
      <c r="T87" s="40"/>
      <c r="U87" s="40"/>
      <c r="V87" s="40"/>
      <c r="W87" s="40"/>
      <c r="X87" s="40"/>
      <c r="Y87" s="40"/>
      <c r="Z87" s="40"/>
      <c r="AA87" s="40"/>
      <c r="AB87" s="40"/>
      <c r="AC87" s="40"/>
      <c r="AD87" s="40"/>
      <c r="AE87" s="40"/>
      <c r="AF87" s="40"/>
      <c r="AG87" s="40"/>
      <c r="AH87" s="40"/>
    </row>
    <row r="88" spans="2:34" x14ac:dyDescent="0.3">
      <c r="B88" s="7"/>
      <c r="F88" s="41"/>
      <c r="G88" s="41"/>
      <c r="H88" s="41"/>
      <c r="I88" s="41"/>
      <c r="J88" s="41"/>
      <c r="K88" s="41"/>
      <c r="L88" s="41"/>
      <c r="M88" s="41"/>
      <c r="N88" s="41"/>
      <c r="O88" s="41"/>
      <c r="P88" s="41"/>
      <c r="Q88" s="40"/>
      <c r="R88" s="40"/>
      <c r="S88" s="40"/>
      <c r="T88" s="40"/>
      <c r="U88" s="40"/>
      <c r="V88" s="40"/>
      <c r="W88" s="40"/>
      <c r="X88" s="40"/>
      <c r="Y88" s="40"/>
      <c r="Z88" s="40"/>
      <c r="AA88" s="40"/>
      <c r="AB88" s="40"/>
      <c r="AC88" s="40"/>
      <c r="AD88" s="40"/>
      <c r="AE88" s="40"/>
      <c r="AF88" s="40"/>
      <c r="AG88" s="40"/>
      <c r="AH88" s="40"/>
    </row>
    <row r="89" spans="2:34" x14ac:dyDescent="0.3">
      <c r="B89" s="7"/>
      <c r="F89" s="41"/>
      <c r="G89" s="41"/>
      <c r="H89" s="41"/>
      <c r="I89" s="41"/>
      <c r="J89" s="41"/>
      <c r="K89" s="41"/>
      <c r="L89" s="41"/>
      <c r="M89" s="41"/>
      <c r="N89" s="41"/>
      <c r="O89" s="41"/>
      <c r="P89" s="41"/>
      <c r="Q89" s="40"/>
      <c r="R89" s="40"/>
      <c r="S89" s="40"/>
      <c r="T89" s="40"/>
      <c r="U89" s="40"/>
      <c r="V89" s="40"/>
      <c r="W89" s="40"/>
      <c r="X89" s="40"/>
      <c r="Y89" s="40"/>
      <c r="Z89" s="40"/>
      <c r="AA89" s="40"/>
      <c r="AB89" s="40"/>
      <c r="AC89" s="40"/>
      <c r="AD89" s="40"/>
      <c r="AE89" s="40"/>
      <c r="AF89" s="40"/>
      <c r="AG89" s="40"/>
      <c r="AH89" s="40"/>
    </row>
    <row r="90" spans="2:34" ht="15" customHeight="1" x14ac:dyDescent="0.3">
      <c r="B90" s="7"/>
      <c r="F90" s="40"/>
      <c r="G90" s="40"/>
      <c r="H90" s="40"/>
      <c r="I90" s="40"/>
      <c r="J90" s="41"/>
      <c r="K90" s="41"/>
      <c r="L90" s="40"/>
      <c r="M90" s="40"/>
      <c r="N90" s="41"/>
      <c r="O90" s="40"/>
      <c r="P90" s="40"/>
      <c r="Q90" s="40"/>
      <c r="R90" s="40"/>
      <c r="S90" s="40"/>
      <c r="T90" s="40"/>
      <c r="U90" s="40"/>
      <c r="V90" s="40"/>
      <c r="W90" s="40"/>
      <c r="X90" s="40"/>
      <c r="Y90" s="40"/>
      <c r="Z90" s="40"/>
      <c r="AA90" s="40"/>
      <c r="AB90" s="40"/>
      <c r="AC90" s="40"/>
      <c r="AD90" s="40"/>
      <c r="AE90" s="40"/>
      <c r="AF90" s="40"/>
      <c r="AG90" s="40"/>
      <c r="AH90" s="40"/>
    </row>
    <row r="91" spans="2:34" ht="15" customHeight="1" x14ac:dyDescent="0.3">
      <c r="B91" s="7"/>
      <c r="C91" s="5" t="s">
        <v>55</v>
      </c>
      <c r="D91" s="5" t="s">
        <v>269</v>
      </c>
      <c r="E91" s="6" t="s">
        <v>71</v>
      </c>
      <c r="F91" s="40"/>
      <c r="G91" s="40"/>
      <c r="H91" s="40"/>
      <c r="I91" s="40"/>
      <c r="J91" s="41"/>
      <c r="K91" s="41"/>
      <c r="L91" s="40"/>
      <c r="M91" s="40"/>
      <c r="N91" s="41"/>
      <c r="O91" s="40"/>
      <c r="P91" s="40"/>
      <c r="Q91" s="40"/>
      <c r="R91" s="40"/>
      <c r="S91" s="40"/>
      <c r="T91" s="40"/>
      <c r="U91" s="40"/>
      <c r="V91" s="40"/>
      <c r="W91" s="40"/>
      <c r="X91" s="40"/>
      <c r="Y91" s="40"/>
      <c r="Z91" s="40"/>
      <c r="AA91" s="40"/>
      <c r="AB91" s="40"/>
      <c r="AC91" s="40"/>
      <c r="AD91" s="40"/>
      <c r="AE91" s="40"/>
      <c r="AF91" s="40"/>
      <c r="AG91" s="40"/>
      <c r="AH91" s="40"/>
    </row>
    <row r="92" spans="2:34" ht="15" customHeight="1" x14ac:dyDescent="0.3">
      <c r="B92" s="7"/>
      <c r="C92" s="43" t="s">
        <v>56</v>
      </c>
      <c r="D92" s="43" t="s">
        <v>270</v>
      </c>
      <c r="E92" s="44">
        <v>50</v>
      </c>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row>
    <row r="93" spans="2:34" ht="15" customHeight="1" x14ac:dyDescent="0.3">
      <c r="B93" s="7"/>
      <c r="C93" s="43" t="s">
        <v>57</v>
      </c>
      <c r="D93" s="43" t="s">
        <v>271</v>
      </c>
      <c r="E93" s="44">
        <v>20</v>
      </c>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row>
    <row r="94" spans="2:34" ht="15" customHeight="1" x14ac:dyDescent="0.3">
      <c r="B94" s="7"/>
      <c r="C94" s="43" t="s">
        <v>58</v>
      </c>
      <c r="D94" s="43" t="s">
        <v>272</v>
      </c>
      <c r="E94" s="44">
        <v>60</v>
      </c>
      <c r="H94" s="41"/>
      <c r="I94" s="41"/>
      <c r="J94" s="41"/>
      <c r="K94" s="41"/>
      <c r="L94" s="40"/>
      <c r="M94" s="40"/>
      <c r="N94" s="40"/>
      <c r="O94" s="40"/>
      <c r="P94" s="40"/>
      <c r="Q94" s="40"/>
      <c r="R94" s="40"/>
      <c r="S94" s="40"/>
      <c r="T94" s="40"/>
      <c r="U94" s="40"/>
      <c r="V94" s="40"/>
      <c r="W94" s="40"/>
      <c r="X94" s="40"/>
      <c r="Y94" s="40"/>
      <c r="Z94" s="40"/>
      <c r="AA94" s="40"/>
      <c r="AB94" s="40"/>
      <c r="AC94" s="40"/>
      <c r="AD94" s="40"/>
      <c r="AE94" s="40"/>
      <c r="AF94" s="40"/>
      <c r="AG94" s="40"/>
      <c r="AH94" s="40"/>
    </row>
    <row r="95" spans="2:34" ht="15" customHeight="1" x14ac:dyDescent="0.3">
      <c r="B95" s="7"/>
      <c r="C95" s="43" t="s">
        <v>59</v>
      </c>
      <c r="D95" s="43" t="s">
        <v>273</v>
      </c>
      <c r="E95" s="44">
        <v>40</v>
      </c>
      <c r="H95" s="41"/>
      <c r="I95" s="41"/>
      <c r="J95" s="41"/>
      <c r="K95" s="41"/>
      <c r="L95" s="40"/>
      <c r="M95" s="40"/>
      <c r="N95" s="40"/>
      <c r="O95" s="40"/>
      <c r="P95" s="40"/>
      <c r="Q95" s="40"/>
      <c r="R95" s="40"/>
      <c r="S95" s="40"/>
      <c r="T95" s="40"/>
      <c r="U95" s="40"/>
      <c r="V95" s="40"/>
      <c r="W95" s="40"/>
      <c r="X95" s="40"/>
      <c r="Y95" s="40"/>
      <c r="Z95" s="40"/>
      <c r="AA95" s="40"/>
      <c r="AB95" s="40"/>
      <c r="AC95" s="40"/>
      <c r="AD95" s="40"/>
      <c r="AE95" s="40"/>
      <c r="AF95" s="40"/>
      <c r="AG95" s="40"/>
      <c r="AH95" s="40"/>
    </row>
    <row r="96" spans="2:34" ht="15" customHeight="1" x14ac:dyDescent="0.3">
      <c r="B96" s="7"/>
      <c r="C96" s="43" t="s">
        <v>56</v>
      </c>
      <c r="D96" s="43" t="s">
        <v>274</v>
      </c>
      <c r="E96" s="44">
        <v>50</v>
      </c>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row>
    <row r="97" spans="2:34" x14ac:dyDescent="0.3">
      <c r="B97" s="7"/>
      <c r="C97" s="43" t="s">
        <v>57</v>
      </c>
      <c r="D97" s="43" t="s">
        <v>275</v>
      </c>
      <c r="E97" s="44">
        <v>20</v>
      </c>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row>
    <row r="98" spans="2:34" x14ac:dyDescent="0.3">
      <c r="B98" s="7"/>
      <c r="C98" s="43" t="s">
        <v>58</v>
      </c>
      <c r="D98" s="43" t="s">
        <v>276</v>
      </c>
      <c r="E98" s="44">
        <v>60</v>
      </c>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row>
    <row r="99" spans="2:34" x14ac:dyDescent="0.3">
      <c r="B99" s="7"/>
      <c r="C99" s="43" t="s">
        <v>59</v>
      </c>
      <c r="D99" s="43" t="s">
        <v>277</v>
      </c>
      <c r="E99" s="44">
        <v>40</v>
      </c>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row>
    <row r="100" spans="2:34" x14ac:dyDescent="0.3">
      <c r="B100" s="7"/>
      <c r="C100" s="43" t="s">
        <v>56</v>
      </c>
      <c r="D100" s="43" t="s">
        <v>274</v>
      </c>
      <c r="E100" s="44">
        <v>50</v>
      </c>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row>
    <row r="101" spans="2:34" x14ac:dyDescent="0.3">
      <c r="B101" s="7"/>
      <c r="C101" s="43" t="s">
        <v>57</v>
      </c>
      <c r="D101" s="43" t="s">
        <v>275</v>
      </c>
      <c r="E101" s="44">
        <v>20</v>
      </c>
      <c r="F101" s="40"/>
      <c r="G101" s="40"/>
    </row>
    <row r="102" spans="2:34" ht="15" customHeight="1" x14ac:dyDescent="0.3">
      <c r="B102" s="7"/>
      <c r="C102" s="43" t="s">
        <v>58</v>
      </c>
      <c r="D102" s="43" t="s">
        <v>272</v>
      </c>
      <c r="E102" s="44">
        <v>60</v>
      </c>
      <c r="F102" s="40"/>
      <c r="G102" s="40"/>
    </row>
    <row r="103" spans="2:34" ht="15" customHeight="1" x14ac:dyDescent="0.3">
      <c r="B103" s="7"/>
      <c r="C103" s="43" t="s">
        <v>59</v>
      </c>
      <c r="D103" s="43" t="s">
        <v>277</v>
      </c>
      <c r="E103" s="44">
        <v>40</v>
      </c>
      <c r="F103" s="40"/>
      <c r="G103" s="40"/>
    </row>
    <row r="104" spans="2:34" ht="15" customHeight="1" x14ac:dyDescent="0.3">
      <c r="B104" s="7"/>
      <c r="C104" s="41"/>
      <c r="D104" s="41"/>
      <c r="E104" s="42"/>
    </row>
    <row r="105" spans="2:34" ht="15" customHeight="1" thickBot="1" x14ac:dyDescent="0.35">
      <c r="B105" s="7"/>
      <c r="C105" s="41" t="s">
        <v>55</v>
      </c>
      <c r="D105" s="41" t="s">
        <v>269</v>
      </c>
      <c r="E105" s="23" t="s">
        <v>278</v>
      </c>
    </row>
    <row r="106" spans="2:34" ht="15" customHeight="1" thickTop="1" thickBot="1" x14ac:dyDescent="0.35">
      <c r="B106" s="7"/>
      <c r="C106" s="49" t="s">
        <v>59</v>
      </c>
      <c r="D106" s="49" t="s">
        <v>277</v>
      </c>
      <c r="E106" s="45">
        <f>SUMIFS(E92:E103,C92:C103,C106,D92:D103,D106)</f>
        <v>80</v>
      </c>
    </row>
    <row r="107" spans="2:34" ht="15" customHeight="1" thickTop="1" x14ac:dyDescent="0.3">
      <c r="B107" s="7"/>
      <c r="E107" s="40"/>
    </row>
    <row r="108" spans="2:34" x14ac:dyDescent="0.3">
      <c r="E108" s="40"/>
    </row>
    <row r="109" spans="2:34" x14ac:dyDescent="0.3">
      <c r="E109" s="40"/>
    </row>
    <row r="110" spans="2:34" x14ac:dyDescent="0.3">
      <c r="E110" s="40"/>
    </row>
    <row r="117" spans="3:4" x14ac:dyDescent="0.3">
      <c r="C117" s="5" t="s">
        <v>61</v>
      </c>
      <c r="D117" s="5" t="s">
        <v>71</v>
      </c>
    </row>
    <row r="118" spans="3:4" x14ac:dyDescent="0.3">
      <c r="C118" s="11" t="s">
        <v>62</v>
      </c>
      <c r="D118" s="11">
        <v>50</v>
      </c>
    </row>
    <row r="119" spans="3:4" x14ac:dyDescent="0.3">
      <c r="C119" s="11" t="s">
        <v>63</v>
      </c>
      <c r="D119" s="11">
        <v>100</v>
      </c>
    </row>
    <row r="120" spans="3:4" x14ac:dyDescent="0.3">
      <c r="C120" s="11" t="s">
        <v>64</v>
      </c>
      <c r="D120" s="11">
        <v>40</v>
      </c>
    </row>
    <row r="121" spans="3:4" x14ac:dyDescent="0.3">
      <c r="C121" s="11" t="s">
        <v>65</v>
      </c>
      <c r="D121" s="11">
        <v>50</v>
      </c>
    </row>
    <row r="122" spans="3:4" ht="15" thickBot="1" x14ac:dyDescent="0.35">
      <c r="C122" s="11" t="s">
        <v>66</v>
      </c>
      <c r="D122" s="11">
        <v>20</v>
      </c>
    </row>
    <row r="123" spans="3:4" ht="15.6" thickTop="1" thickBot="1" x14ac:dyDescent="0.35">
      <c r="C123" s="54"/>
      <c r="D123" s="55">
        <f>SUMIF(D118:D122,"&gt;50")</f>
        <v>100</v>
      </c>
    </row>
    <row r="124" spans="3:4" ht="15" thickTop="1" x14ac:dyDescent="0.3"/>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paperSize="9" orientation="landscape"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baseColWidth="10" defaultColWidth="8.88671875" defaultRowHeight="14.4" x14ac:dyDescent="0.3"/>
  <cols>
    <col min="1" max="1" width="13" customWidth="1"/>
    <col min="2" max="2" width="82.88671875" customWidth="1"/>
    <col min="3" max="4" width="13.109375" customWidth="1"/>
  </cols>
  <sheetData>
    <row r="1" spans="1:4" ht="60" customHeight="1" x14ac:dyDescent="0.3">
      <c r="A1" s="27" t="s">
        <v>281</v>
      </c>
      <c r="C1" s="72"/>
      <c r="D1" s="85"/>
    </row>
    <row r="2" spans="1:4" x14ac:dyDescent="0.3">
      <c r="A2" s="27" t="s">
        <v>282</v>
      </c>
    </row>
    <row r="3" spans="1:4" ht="15" customHeight="1" x14ac:dyDescent="0.3">
      <c r="A3" s="29" t="s">
        <v>305</v>
      </c>
    </row>
    <row r="4" spans="1:4" ht="15" customHeight="1" x14ac:dyDescent="0.3">
      <c r="A4" s="29" t="s">
        <v>312</v>
      </c>
      <c r="C4" s="35" t="s">
        <v>55</v>
      </c>
      <c r="D4" s="32" t="s">
        <v>71</v>
      </c>
    </row>
    <row r="5" spans="1:4" ht="15" customHeight="1" x14ac:dyDescent="0.3">
      <c r="A5" s="29" t="s">
        <v>283</v>
      </c>
      <c r="C5" s="43" t="s">
        <v>56</v>
      </c>
      <c r="D5" s="44">
        <v>50</v>
      </c>
    </row>
    <row r="6" spans="1:4" x14ac:dyDescent="0.3">
      <c r="A6" s="27" t="s">
        <v>284</v>
      </c>
      <c r="C6" s="43" t="s">
        <v>57</v>
      </c>
      <c r="D6" s="44">
        <v>20</v>
      </c>
    </row>
    <row r="7" spans="1:4" ht="15" customHeight="1" x14ac:dyDescent="0.3">
      <c r="A7" s="29" t="s">
        <v>285</v>
      </c>
      <c r="C7" s="43" t="s">
        <v>58</v>
      </c>
      <c r="D7" s="44">
        <v>60</v>
      </c>
    </row>
    <row r="8" spans="1:4" ht="15" customHeight="1" x14ac:dyDescent="0.3">
      <c r="A8" s="27" t="s">
        <v>22</v>
      </c>
      <c r="C8" s="43" t="s">
        <v>59</v>
      </c>
      <c r="D8" s="44">
        <v>40</v>
      </c>
    </row>
    <row r="9" spans="1:4" ht="15" customHeight="1" thickBot="1" x14ac:dyDescent="0.35">
      <c r="A9" s="27" t="s">
        <v>23</v>
      </c>
      <c r="C9" s="41"/>
      <c r="D9" s="41"/>
    </row>
    <row r="10" spans="1:4" ht="15.6" thickTop="1" thickBot="1" x14ac:dyDescent="0.35">
      <c r="A10" s="27" t="s">
        <v>24</v>
      </c>
      <c r="C10" s="57" t="s">
        <v>56</v>
      </c>
      <c r="D10" s="45">
        <f>VLOOKUP(C10,C5:D8,2,FALSE)</f>
        <v>50</v>
      </c>
    </row>
    <row r="11" spans="1:4" ht="15" thickTop="1" x14ac:dyDescent="0.3">
      <c r="A11" s="27" t="s">
        <v>26</v>
      </c>
    </row>
    <row r="12" spans="1:4" x14ac:dyDescent="0.3">
      <c r="A12" s="27" t="s">
        <v>286</v>
      </c>
    </row>
    <row r="13" spans="1:4" x14ac:dyDescent="0.3">
      <c r="A13" s="27" t="s">
        <v>287</v>
      </c>
    </row>
    <row r="14" spans="1:4" x14ac:dyDescent="0.3">
      <c r="A14" s="27" t="s">
        <v>29</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baseColWidth="10" defaultColWidth="8.88671875" defaultRowHeight="14.4" x14ac:dyDescent="0.3"/>
  <cols>
    <col min="1" max="1" width="13" customWidth="1"/>
    <col min="2" max="2" width="82.88671875" customWidth="1"/>
    <col min="3" max="4" width="13.33203125" customWidth="1"/>
  </cols>
  <sheetData>
    <row r="1" spans="1:4" ht="60" customHeight="1" x14ac:dyDescent="0.3">
      <c r="A1" s="27" t="s">
        <v>288</v>
      </c>
      <c r="C1" s="72"/>
      <c r="D1" s="90"/>
    </row>
    <row r="2" spans="1:4" ht="15" customHeight="1" x14ac:dyDescent="0.3">
      <c r="A2" s="27" t="s">
        <v>289</v>
      </c>
      <c r="C2" s="89"/>
      <c r="D2" s="89"/>
    </row>
    <row r="3" spans="1:4" x14ac:dyDescent="0.3">
      <c r="A3" s="27" t="s">
        <v>290</v>
      </c>
      <c r="C3" s="35" t="s">
        <v>55</v>
      </c>
      <c r="D3" s="32" t="s">
        <v>71</v>
      </c>
    </row>
    <row r="4" spans="1:4" x14ac:dyDescent="0.3">
      <c r="A4" s="27" t="s">
        <v>291</v>
      </c>
      <c r="C4" s="109" t="s">
        <v>56</v>
      </c>
      <c r="D4" s="110">
        <v>50</v>
      </c>
    </row>
    <row r="5" spans="1:4" x14ac:dyDescent="0.3">
      <c r="A5" s="27" t="s">
        <v>292</v>
      </c>
      <c r="C5" s="109" t="s">
        <v>57</v>
      </c>
      <c r="D5" s="110">
        <v>20</v>
      </c>
    </row>
    <row r="6" spans="1:4" x14ac:dyDescent="0.3">
      <c r="A6" s="27" t="s">
        <v>293</v>
      </c>
      <c r="C6" s="109" t="s">
        <v>58</v>
      </c>
      <c r="D6" s="110">
        <v>60</v>
      </c>
    </row>
    <row r="7" spans="1:4" ht="15" customHeight="1" x14ac:dyDescent="0.3">
      <c r="A7" s="29" t="s">
        <v>294</v>
      </c>
      <c r="C7" s="109" t="s">
        <v>59</v>
      </c>
      <c r="D7" s="110">
        <v>40</v>
      </c>
    </row>
    <row r="8" spans="1:4" ht="15" thickBot="1" x14ac:dyDescent="0.35">
      <c r="A8" s="27" t="s">
        <v>22</v>
      </c>
      <c r="C8" s="41"/>
      <c r="D8" s="41"/>
    </row>
    <row r="9" spans="1:4" ht="15.6" thickTop="1" thickBot="1" x14ac:dyDescent="0.35">
      <c r="A9" s="27" t="s">
        <v>23</v>
      </c>
      <c r="C9" s="88" t="s">
        <v>197</v>
      </c>
      <c r="D9" s="45" t="e">
        <f>VLOOKUP(C9,C3:D7,2,FALSE)</f>
        <v>#N/A</v>
      </c>
    </row>
    <row r="10" spans="1:4" ht="15" thickTop="1" x14ac:dyDescent="0.3">
      <c r="A10" s="27" t="s">
        <v>24</v>
      </c>
    </row>
    <row r="11" spans="1:4" x14ac:dyDescent="0.3">
      <c r="A11" s="27" t="s">
        <v>295</v>
      </c>
    </row>
    <row r="12" spans="1:4" x14ac:dyDescent="0.3">
      <c r="A12" s="27" t="s">
        <v>296</v>
      </c>
    </row>
    <row r="13" spans="1:4" x14ac:dyDescent="0.3">
      <c r="A13" s="27" t="s">
        <v>297</v>
      </c>
    </row>
    <row r="14" spans="1:4" x14ac:dyDescent="0.3">
      <c r="A14" s="27" t="s">
        <v>29</v>
      </c>
    </row>
    <row r="30" spans="3:4" x14ac:dyDescent="0.3">
      <c r="C30" s="35" t="s">
        <v>55</v>
      </c>
      <c r="D30" s="32" t="s">
        <v>71</v>
      </c>
    </row>
    <row r="31" spans="3:4" x14ac:dyDescent="0.3">
      <c r="C31" s="109" t="s">
        <v>56</v>
      </c>
      <c r="D31" s="110">
        <v>50</v>
      </c>
    </row>
    <row r="32" spans="3:4" x14ac:dyDescent="0.3">
      <c r="C32" s="109" t="s">
        <v>57</v>
      </c>
      <c r="D32" s="110">
        <v>20</v>
      </c>
    </row>
    <row r="33" spans="3:4" x14ac:dyDescent="0.3">
      <c r="C33" s="109" t="s">
        <v>58</v>
      </c>
      <c r="D33" s="110">
        <v>60</v>
      </c>
    </row>
    <row r="34" spans="3:4" x14ac:dyDescent="0.3">
      <c r="C34" s="109" t="s">
        <v>59</v>
      </c>
      <c r="D34" s="110">
        <v>40</v>
      </c>
    </row>
    <row r="35" spans="3:4" ht="15" thickBot="1" x14ac:dyDescent="0.35"/>
    <row r="36" spans="3:4" ht="15.6" thickTop="1" thickBot="1" x14ac:dyDescent="0.35">
      <c r="C36" s="88" t="s">
        <v>205</v>
      </c>
      <c r="D36" s="45" t="e">
        <f ca="1">sume(D31:D34)</f>
        <v>#NAME?</v>
      </c>
    </row>
    <row r="37" spans="3:4" ht="15" thickTop="1" x14ac:dyDescent="0.3"/>
  </sheetData>
  <dataValidations count="1">
    <dataValidation type="list" allowBlank="1" showInputMessage="1" showErrorMessage="1" sqref="C9" xr:uid="{00000000-0002-0000-0B00-000000000000}">
      <formula1>$C$4:$C$7</formula1>
    </dataValidation>
  </dataValidations>
  <pageMargins left="0.7" right="0.7"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baseColWidth="10" defaultColWidth="8.88671875" defaultRowHeight="15" customHeight="1" x14ac:dyDescent="0.3"/>
  <cols>
    <col min="1" max="1" width="8.88671875" style="7"/>
    <col min="2" max="2" width="95.109375" style="36" customWidth="1"/>
    <col min="3" max="16384" width="8.88671875" style="36"/>
  </cols>
  <sheetData>
    <row r="1" spans="1:2" ht="60" customHeight="1" x14ac:dyDescent="0.3">
      <c r="A1" s="7" t="s">
        <v>298</v>
      </c>
    </row>
    <row r="2" spans="1:2" s="37" customFormat="1" ht="15" customHeight="1" x14ac:dyDescent="0.45">
      <c r="A2" s="7" t="s">
        <v>299</v>
      </c>
      <c r="B2" s="36"/>
    </row>
    <row r="3" spans="1:2" s="37" customFormat="1" ht="15" customHeight="1" x14ac:dyDescent="0.45">
      <c r="A3" s="7" t="s">
        <v>300</v>
      </c>
      <c r="B3" s="36"/>
    </row>
    <row r="4" spans="1:2" s="38" customFormat="1" ht="15" customHeight="1" x14ac:dyDescent="0.75">
      <c r="A4" s="7"/>
      <c r="B4" s="36"/>
    </row>
    <row r="5" spans="1:2" s="39" customFormat="1" ht="15" customHeight="1" x14ac:dyDescent="0.3">
      <c r="A5" s="7" t="s">
        <v>301</v>
      </c>
      <c r="B5" s="36"/>
    </row>
    <row r="6" spans="1:2" s="39" customFormat="1" ht="15" customHeight="1" x14ac:dyDescent="0.3">
      <c r="A6" s="7" t="s">
        <v>302</v>
      </c>
      <c r="B6" s="36"/>
    </row>
    <row r="7" spans="1:2" ht="15" customHeight="1" x14ac:dyDescent="0.3">
      <c r="A7" s="7" t="s">
        <v>303</v>
      </c>
    </row>
  </sheetData>
  <hyperlinks>
    <hyperlink ref="A5" r:id="rId1" tooltip="Select to learn more about Community" display="http://go.microsoft.com/fwlink/?LinkId=844969" xr:uid="{00000000-0004-0000-0C00-000000000000}"/>
    <hyperlink ref="A6" r:id="rId2" tooltip="Select to learn more about what else is new" display="https://support.office.com/en-gb/article/what-s-new-in-excel-2016-for-windows-5fdb9208-ff33-45b6-9e08-1f5cdb3a6c73?ui=en-US&amp;rs=en-GB&amp;ad=GB" xr:uid="{00000000-0004-0000-0C00-000001000000}"/>
    <hyperlink ref="A7" r:id="rId3" tooltip="Select to Give us feedback on this tour" xr:uid="{00000000-0004-0000-0C00-000002000000}"/>
  </hyperlinks>
  <pageMargins left="0.7" right="0.7" top="0.75" bottom="0.75" header="0.3" footer="0.3"/>
  <pageSetup paperSize="9" orientation="landscape" r:id="rId4"/>
  <drawing r:id="rId5"/>
</worksheet>
</file>

<file path=docProps/app.xml><?xml version="1.0" encoding="utf-8"?>
<Properties xmlns="http://schemas.openxmlformats.org/officeDocument/2006/extended-properties" xmlns:vt="http://schemas.openxmlformats.org/officeDocument/2006/docPropsVTypes">
  <Template>TM16400656</Template>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lpstr>'Conditional Functions'!Zielbereich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TU-Pseudonym 2109535485013565</dc:creator>
  <cp:keywords/>
  <dc:description/>
  <cp:lastModifiedBy>TU-Pseudonym 2109535485013565</cp:lastModifiedBy>
  <dcterms:created xsi:type="dcterms:W3CDTF">2018-02-03T09:21:33Z</dcterms:created>
  <dcterms:modified xsi:type="dcterms:W3CDTF">2023-09-06T07:51:53Z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2018-02-03T09:21:40.8531961Z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