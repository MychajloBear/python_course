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filterPrivacy="1" codeName="ThisWorkbook" autoCompressPictures="0"/>
  <xr:revisionPtr revIDLastSave="0" documentId="8_{E4913350-190A-4C9D-9813-442D27168CC1}" xr6:coauthVersionLast="47" xr6:coauthVersionMax="47" xr10:uidLastSave="{00000000-0000-0000-0000-000000000000}"/>
  <bookViews>
    <workbookView xWindow="-108" yWindow="-108" windowWidth="21720" windowHeight="13176" xr2:uid="{00000000-000D-0000-FFFF-FFFF00000000}"/>
  </bookViews>
  <sheets>
    <sheet name="Start" sheetId="28" r:id="rId1"/>
    <sheet name="1. Add" sheetId="21" r:id="rId2"/>
    <sheet name="2. Fill" sheetId="23" r:id="rId3"/>
    <sheet name="3. Split" sheetId="24" r:id="rId4"/>
    <sheet name="4. Transpose" sheetId="25" r:id="rId5"/>
    <sheet name="5. Sort &amp; filter" sheetId="32" r:id="rId6"/>
    <sheet name="6. Tables" sheetId="26" r:id="rId7"/>
    <sheet name="7. Drop-downs" sheetId="27" r:id="rId8"/>
    <sheet name="8. Analyze" sheetId="33" r:id="rId9"/>
    <sheet name="9. Charts" sheetId="34" r:id="rId10"/>
    <sheet name="10. PivotTables" sheetId="35" r:id="rId11"/>
    <sheet name="Learn more" sheetId="36" r:id="rId12"/>
  </sheets>
  <definedNames>
    <definedName name="_xlnm._FilterDatabase" localSheetId="5" hidden="1">'5. Sort &amp; filter'!$C$5:$G$13</definedName>
    <definedName name="ExtraCredit">'1. Add'!$F$10:$G$15</definedName>
    <definedName name="Fruit">'1. Add'!$C$3:$D$7</definedName>
    <definedName name="Items">'1. Add'!$C$10:$D$15</definedName>
    <definedName name="Meat">'1. Add'!$F$3:$G$7</definedName>
    <definedName name="MoreFruit">'1. Add'!$C$37:$D$42</definedName>
    <definedName name="MoreItem">'1. Add'!$C$47:$D$51</definedName>
    <definedName name="MoreItems">'1. Add'!$F$47:$G$51</definedName>
    <definedName name="SUMExtraCredit">'1. Add'!$F$10:$G$15</definedName>
    <definedName name="SUMIF">'1. Add'!$C$72:$D$77</definedName>
    <definedName name="SUMIFExtraCredit">'1. Add'!$F$72:$G$77</definedName>
    <definedName name="Total">'1. Add'!$E$53:$E$54</definedName>
  </definedNames>
  <calcPr calcId="191029"/>
  <pivotCaches>
    <pivotCache cacheId="3"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73" i="34" l="1"/>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7" i="32"/>
  <c r="C36" i="32"/>
  <c r="C35" i="32"/>
  <c r="C34" i="32"/>
  <c r="C33" i="32"/>
  <c r="C32" i="32"/>
  <c r="E4" i="23" l="1"/>
  <c r="D42" i="21" l="1"/>
  <c r="F56" i="24" l="1"/>
  <c r="E54" i="21"/>
  <c r="E56" i="24" l="1"/>
  <c r="H56" i="24"/>
  <c r="G56" i="24" l="1"/>
  <c r="G78" i="21" l="1"/>
  <c r="E12" i="23" l="1"/>
  <c r="G12" i="23" s="1"/>
  <c r="E13" i="23"/>
  <c r="G13" i="23" s="1"/>
  <c r="E14" i="23"/>
  <c r="G14" i="23" s="1"/>
  <c r="E11" i="23"/>
  <c r="G11" i="23" s="1"/>
  <c r="C15" i="23"/>
  <c r="G4" i="23"/>
  <c r="D78" i="21" l="1"/>
</calcChain>
</file>

<file path=xl/sharedStrings.xml><?xml version="1.0" encoding="utf-8"?>
<sst xmlns="http://schemas.openxmlformats.org/spreadsheetml/2006/main" count="669" uniqueCount="379">
  <si>
    <t>Fruit</t>
  </si>
  <si>
    <t>Amount</t>
  </si>
  <si>
    <t>Apples</t>
  </si>
  <si>
    <t>Oranges</t>
  </si>
  <si>
    <t>Bananas</t>
  </si>
  <si>
    <t>Lemons</t>
  </si>
  <si>
    <t>Meat</t>
  </si>
  <si>
    <t>Beef</t>
  </si>
  <si>
    <t>Chicken</t>
  </si>
  <si>
    <t>Pork</t>
  </si>
  <si>
    <t>Fish</t>
  </si>
  <si>
    <t>Item</t>
  </si>
  <si>
    <t>Bread</t>
  </si>
  <si>
    <t>Donuts</t>
  </si>
  <si>
    <t>Cookies</t>
  </si>
  <si>
    <t>Cakes</t>
  </si>
  <si>
    <t>Pies</t>
  </si>
  <si>
    <t>Table</t>
  </si>
  <si>
    <t>Cars</t>
  </si>
  <si>
    <t>Trucks</t>
  </si>
  <si>
    <t>Bikes</t>
  </si>
  <si>
    <t>Skates</t>
  </si>
  <si>
    <t>Total:</t>
  </si>
  <si>
    <t>This:</t>
  </si>
  <si>
    <t>Plus this:</t>
  </si>
  <si>
    <t>Equals:</t>
  </si>
  <si>
    <t>Category</t>
  </si>
  <si>
    <t>Product</t>
  </si>
  <si>
    <t>Produce</t>
  </si>
  <si>
    <t>Apple</t>
  </si>
  <si>
    <t>Orange</t>
  </si>
  <si>
    <t>Banana</t>
  </si>
  <si>
    <t>Pears</t>
  </si>
  <si>
    <t>Count</t>
  </si>
  <si>
    <t>Dept.</t>
  </si>
  <si>
    <t>Jan</t>
  </si>
  <si>
    <t>Week 1</t>
  </si>
  <si>
    <t>Intervals</t>
  </si>
  <si>
    <t>Email</t>
  </si>
  <si>
    <t>First name</t>
  </si>
  <si>
    <t>Last name</t>
  </si>
  <si>
    <t>Smith</t>
  </si>
  <si>
    <t>Data</t>
  </si>
  <si>
    <t>[Helper column]</t>
  </si>
  <si>
    <t>Yvonne Francis McKay</t>
  </si>
  <si>
    <t>Bakery</t>
  </si>
  <si>
    <t>Department</t>
  </si>
  <si>
    <t>Oct</t>
  </si>
  <si>
    <t>Nov</t>
  </si>
  <si>
    <t>Dec</t>
  </si>
  <si>
    <t>Veggies</t>
  </si>
  <si>
    <t>Breads</t>
  </si>
  <si>
    <t>Desserts</t>
  </si>
  <si>
    <t>Deli</t>
  </si>
  <si>
    <t>Salads</t>
  </si>
  <si>
    <t>Total</t>
  </si>
  <si>
    <t>Sales</t>
  </si>
  <si>
    <t>Food</t>
  </si>
  <si>
    <t>Broccoli</t>
  </si>
  <si>
    <t>Kale</t>
  </si>
  <si>
    <t>Ham</t>
  </si>
  <si>
    <t>Qrtr 1</t>
  </si>
  <si>
    <t>Name inside one cell</t>
  </si>
  <si>
    <t>Take a tour</t>
  </si>
  <si>
    <t>Sandwiches</t>
  </si>
  <si>
    <t>Sandwich</t>
  </si>
  <si>
    <t>Mariya</t>
  </si>
  <si>
    <t>Expense date</t>
  </si>
  <si>
    <t>Employee</t>
  </si>
  <si>
    <t>Hotel</t>
  </si>
  <si>
    <t>Jackie</t>
  </si>
  <si>
    <t>Mark</t>
  </si>
  <si>
    <t>Tricia</t>
  </si>
  <si>
    <t>Dave</t>
  </si>
  <si>
    <t>Laura</t>
  </si>
  <si>
    <t>Jeff</t>
  </si>
  <si>
    <t>Date</t>
  </si>
  <si>
    <t>Salesperson</t>
  </si>
  <si>
    <t>Anne</t>
  </si>
  <si>
    <t>Beer</t>
  </si>
  <si>
    <t>Wine</t>
  </si>
  <si>
    <t>Soda</t>
  </si>
  <si>
    <t>Year</t>
  </si>
  <si>
    <t>Conference attendance</t>
  </si>
  <si>
    <t>Food sales</t>
  </si>
  <si>
    <t>Sum of Amount</t>
  </si>
  <si>
    <t>Nancy.Smith@contoso.com</t>
  </si>
  <si>
    <t>Mariya.Jones@contoso.com</t>
  </si>
  <si>
    <t>Jan.Kotas@relecloud.com</t>
  </si>
  <si>
    <t>Nancy,Smith,Contoso Ltd.</t>
  </si>
  <si>
    <t>Andy,North,Fabrikam Inc.</t>
  </si>
  <si>
    <t>Jan,Kotas,Relecloud</t>
  </si>
  <si>
    <t>Mariya,Jones,Contoso Ltd.</t>
  </si>
  <si>
    <t>Andy.North@fabrikam.com</t>
  </si>
  <si>
    <t>Steven,Thorpe,Relecloud</t>
  </si>
  <si>
    <t>Michael,Neipper,Fabrikam Inc.</t>
  </si>
  <si>
    <t>Robert,Zare,Relecloud</t>
  </si>
  <si>
    <t>Company name</t>
  </si>
  <si>
    <t xml:space="preserve">Yvonne.McKay@fabrikam.com </t>
  </si>
  <si>
    <t>Middle name</t>
  </si>
  <si>
    <t>Yvonne,McKay,Contoso Ltd.</t>
  </si>
  <si>
    <t>In just 10 steps, you'll be up and running with
Excel, the world's most popular spreadsheet app.</t>
  </si>
  <si>
    <t>Add numbers like a champ</t>
  </si>
  <si>
    <t>Here are some ways to add up numbers in Excel:</t>
  </si>
  <si>
    <t xml:space="preserve">Cells C3 through D7 contain data with two columns. One for Fruit, and one for Amount. </t>
  </si>
  <si>
    <t xml:space="preserve">More about the SUM function </t>
  </si>
  <si>
    <t>In some of the above tips, we taught you how to use the SUM function. Here are more details about it.</t>
  </si>
  <si>
    <t>Here's another way it can be used:</t>
  </si>
  <si>
    <t xml:space="preserve">• A single cell reference, which is the "address" or "name" of a cell. D48 is the single cell reference in the formula above. </t>
  </si>
  <si>
    <t xml:space="preserve">More about the SUMIF function </t>
  </si>
  <si>
    <t>Go back to top by pressing CTRL+HOME. To proceed to the next step, press CTRL+PAGE DOWN.</t>
  </si>
  <si>
    <t>More information on the web</t>
  </si>
  <si>
    <t>All about the SUM function</t>
  </si>
  <si>
    <t>All about the SUMIF function</t>
  </si>
  <si>
    <t>Use Excel as your calculator</t>
  </si>
  <si>
    <t>Go to D8 by pressing CTRL+G, type D8, and then press ENTER.</t>
  </si>
  <si>
    <t>Dive down for more detail: Go to A27. Or, to proceed to the next step, press CTRL+PAGE DOWN.</t>
  </si>
  <si>
    <t>Go to cell A66 for the next instruction.</t>
  </si>
  <si>
    <t>Go to cell A86 to go to the next instruction.</t>
  </si>
  <si>
    <t>More questions about Excel?</t>
  </si>
  <si>
    <t>Save time by filling cells automatically</t>
  </si>
  <si>
    <t xml:space="preserve">Go to cell E4. Press CTRL+G, type E4, then press Enter. </t>
  </si>
  <si>
    <t>Go to cell C15. Select cells C15, D15, E15, F15, and G15. This time press CTRL+R to fill the cells. This is known as “filling right.”</t>
  </si>
  <si>
    <t>Dive down for more detail: Go to cell A27. Or, to proceed to the next step, press CTRL+PAGE DOWN.</t>
  </si>
  <si>
    <t>Use the fill handle to copy cells</t>
  </si>
  <si>
    <t>Sometimes you don't need the numbers to change as you fill. Instead, you just want to copy values to other adjacent cells. Here's how to do that:</t>
  </si>
  <si>
    <t>Data stuffed into one column? Split it.</t>
  </si>
  <si>
    <t>Switch data around by transposing it</t>
  </si>
  <si>
    <t>Sort and filter with ease</t>
  </si>
  <si>
    <t>Tables make things a lot easier</t>
  </si>
  <si>
    <t>Insert a drop-down list</t>
  </si>
  <si>
    <t>Analyze data quickly</t>
  </si>
  <si>
    <t>Great charts recommended for you</t>
  </si>
  <si>
    <t>Summarize data with PivotTables</t>
  </si>
  <si>
    <t xml:space="preserve">IMPORTANT DETAIL: Go to cell E54. You'll notice the 100 toward the end of the formula.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 </t>
  </si>
  <si>
    <t>NOTE: If you find you are making a lot of SUMIF formulas, you might find that a PivotTable is a better solution. See the PivotTable worksheet for more information.</t>
  </si>
  <si>
    <t xml:space="preserve">The result is 170. </t>
  </si>
  <si>
    <t>Here’s how to use the fill feature in Excel:</t>
  </si>
  <si>
    <t>Go to cell A64 for the next instruction.</t>
  </si>
  <si>
    <t>Fill data automatically in worksheet cells</t>
  </si>
  <si>
    <t>Fill a formula down into adjacent cells</t>
  </si>
  <si>
    <t xml:space="preserve">Flash Fill detects when you type a consistent pattern, and fills the cells once the pattern is detected. </t>
  </si>
  <si>
    <t>Try another way to Flash Fill: Go to cell E5.</t>
  </si>
  <si>
    <t>Split a column based on delimiters.</t>
  </si>
  <si>
    <t>Flash Fill is pretty handy. But if you want to split data into more than one column all at once, then it's not the best tool for the job. Try Text to Columns in this situation:</t>
  </si>
  <si>
    <t>Go to cell A49 for the next instruction.</t>
  </si>
  <si>
    <t>Split a column with formulas</t>
  </si>
  <si>
    <t>You might want to write a formula to split data. This way, if the original data gets updated, then the split data will get updated as well. This is more advanced. But it is possible when using a handful of functions: LEFT, RIGHT, FIND, and LEN. For more information on each these functions, see the links at the bottom of this sheet under More information on the web starting in cell A80. But if you’re curious, here’s how we split cell C56.</t>
  </si>
  <si>
    <t xml:space="preserve">The Find function is used to determine the number of characters to extract. Here's how the Find function works: Find the character position number of the first space in cell C56. Then subtract 1 to exclude the space itself.
</t>
  </si>
  <si>
    <t>The result is Yvonne.</t>
  </si>
  <si>
    <t xml:space="preserve">Then we created a [Helper column]. This was just to “help” extract the other text in the cell. It’s meant to be temporary and something one could always hide later. </t>
  </si>
  <si>
    <t xml:space="preserve">Select cell F56: Francis McKay in the [Helper column]. You’ll see that we used the RIGHT, LEN, and FIND functions to extract characters from the first space in cell C56, up until the end of the cell. </t>
  </si>
  <si>
    <t>The Right function extracts a specified number of characters from the right side of cell C56.</t>
  </si>
  <si>
    <t xml:space="preserve">The left function extracts a specified number of characters from the left side of cell C56.
</t>
  </si>
  <si>
    <t xml:space="preserve">In this case, the LEN function is used to determine the number of characters to extract. Here's how the LEN function works: Count the number of characters in cell C56 and subtract the number of characters from the Find function, which finds the character position number of the first space in cell C56 and returns the number of characters up until the space. </t>
  </si>
  <si>
    <t>The result is Francis McKay.</t>
  </si>
  <si>
    <t>Split text into different columns</t>
  </si>
  <si>
    <t xml:space="preserve">All about Get &amp; Transform </t>
  </si>
  <si>
    <t>All about the LEFT function</t>
  </si>
  <si>
    <t>All about the RIGHT function</t>
  </si>
  <si>
    <t>All about the FIND function</t>
  </si>
  <si>
    <t>All about the LEN function</t>
  </si>
  <si>
    <t>When you need to rotate columns and rows, you transpose them in Excel.</t>
  </si>
  <si>
    <t>Cells C5 to H6 contain two rows of Items and Amounts. Select cells C5 to H6.</t>
  </si>
  <si>
    <t>Now you'll copy the cells. Press CTRL+C.</t>
  </si>
  <si>
    <t>Select cell C9.</t>
  </si>
  <si>
    <t xml:space="preserve">EXPERT TIP: The shortcut key for Paste Special is CTRL+ALT+V. 
</t>
  </si>
  <si>
    <t xml:space="preserve"> to proceed to the next step</t>
  </si>
  <si>
    <t xml:space="preserve"> press CTRL+PAGE DOWN.</t>
  </si>
  <si>
    <t>Transpose with a formula</t>
  </si>
  <si>
    <t>Sometimes you don't want to copy and paste to transpose. In this case, you can use a formula to transpose rows and columns. Here's how to do that:</t>
  </si>
  <si>
    <t>Select any of the transposed cells, for example cell C41. Look at the formula at the top of Excel. You’ll see that the formula looks like this: {=TRANSPOSE(C33:H34)}</t>
  </si>
  <si>
    <t xml:space="preserve">Select  another transposed cell from cells C40 to D45, for example cell D43. Look at the formula bar again. The formula is the same as in cell C41. Why? Because this is an array formula.
</t>
  </si>
  <si>
    <t>KEEP IN MIND…
There are three things to keep in mind when using an array formula: 
1) Always select multiple cells first, and then with those cells selected, start typing the array formula. That's the key: Select multiple cells first, then start typing.
2) When you're done typing an array formula, press  CTRL+SHIFT +ENTER.
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t>
  </si>
  <si>
    <t xml:space="preserve">EXCEL SPEAK: Because array formulas require CTRL+SHIFT+ENTER, some people informally call array formulas, "CSE formulas." 
</t>
  </si>
  <si>
    <t>Go to cell A79 to go to the next instruction.</t>
  </si>
  <si>
    <t>Go to cell A54 for the next instruction.</t>
  </si>
  <si>
    <t>What's an array formula?</t>
  </si>
  <si>
    <t>An array formula can perform calculations on more than one cell in an array. In the example above, the array is the original data set is cells C33:H34. The TRANSPOSE function then switches the horizontal orientation of the cells to a vertical orientation. </t>
  </si>
  <si>
    <t xml:space="preserve">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t>
  </si>
  <si>
    <t>Go to cell A72 for the next instruction.</t>
  </si>
  <si>
    <t>Transpose (rotate) data from rows to columns or vice versa</t>
  </si>
  <si>
    <t>All about the TRANSPOSE function</t>
  </si>
  <si>
    <t>Create an array formula</t>
  </si>
  <si>
    <t>Sort by date, or by color even</t>
  </si>
  <si>
    <t>More ways to filter data</t>
  </si>
  <si>
    <t xml:space="preserve">IMPORTANT DETAIL: You can't clear a sort order like you can a filter. So if you don't want your sort to stick, undo it by pressing CTRL+Z.
</t>
  </si>
  <si>
    <t>Go to cell A43 for the next instruction.</t>
  </si>
  <si>
    <t>Sort data in a range or table</t>
  </si>
  <si>
    <t>Filter data in a range or table</t>
  </si>
  <si>
    <t>A table gives you special features and conveniences. Here’s how to create one:</t>
  </si>
  <si>
    <t>Now you have a table, which is a collection of cells that has special features. For starters: A table gives you banded rows for easier reading.</t>
  </si>
  <si>
    <t>Calculated columns in tables</t>
  </si>
  <si>
    <t>One example of a convenience that tables give you: calculated columns. You type a formula once, and it gets automatically filled down for you. Here’s how it works:</t>
  </si>
  <si>
    <t>Go to cell A47 for the next instruction.</t>
  </si>
  <si>
    <t>Total rows in tables</t>
  </si>
  <si>
    <t>Another convenience in tables are total rows. Instead of typing a SUM formula, Excel can make that total for you with a flip of a switch. And the same goes for the AVERAGE formula, and many others. Here’s how it works:</t>
  </si>
  <si>
    <t>Overview of Excel tables</t>
  </si>
  <si>
    <t>Total the data in an Excel table</t>
  </si>
  <si>
    <t>Use calculated columns in an Excel table</t>
  </si>
  <si>
    <t xml:space="preserve">Drop-down lists make data entry easier for people. Here's how to do one: </t>
  </si>
  <si>
    <t>We want only three department names to be valid entries for each of the foods on the right. Those departments are Produce, Meat and Bakery.</t>
  </si>
  <si>
    <t>Best practice for drop-downs: Use a table.</t>
  </si>
  <si>
    <t>We just taught you how to insert a drop-down menu for the list of departments. But what if that list changes? For example, what if there is a new department called Dairy? You’d have to update the data validation dialog box. But there’s a more efficient way by creating a table first:</t>
  </si>
  <si>
    <t>Go to cell A60 for the next instruction.</t>
  </si>
  <si>
    <t>Apply data validation to cells</t>
  </si>
  <si>
    <t>Create a drop-down list</t>
  </si>
  <si>
    <t>Here’s how to analyze data so that you can spot patterns and trends quickly:</t>
  </si>
  <si>
    <t>Quickly make a chart</t>
  </si>
  <si>
    <t>Quickly make sparklines</t>
  </si>
  <si>
    <t>Let's say you want little trend lines to the right of this data to show how the amounts go up or down during the three months. You don't have to make 8 little line charts. You can make sparklines instead.</t>
  </si>
  <si>
    <t>Analyze your data instantly</t>
  </si>
  <si>
    <t>Analyze trends in data using sparklines</t>
  </si>
  <si>
    <t>Go to cell A68 for the next instruction.</t>
  </si>
  <si>
    <t>Horizontal and vertical axes</t>
  </si>
  <si>
    <t xml:space="preserve">In school you might have learned that there is an x-axis and a y-axis. Excel has these two axes as well, but it calls them something different. </t>
  </si>
  <si>
    <t>In Excel this is what they are called:</t>
  </si>
  <si>
    <t xml:space="preserve">Each axis can either be a value axis or a category axis. </t>
  </si>
  <si>
    <t>Go to cell A52 for the next instruction.</t>
  </si>
  <si>
    <t>Secondary axis</t>
  </si>
  <si>
    <t>Create a chart from start to finish</t>
  </si>
  <si>
    <t>Create a combo chart with a secondary axis</t>
  </si>
  <si>
    <t>Available chart types in Office</t>
  </si>
  <si>
    <t>You can also use a secondary axis in a chart. A secondary axis is an additional value axis that can show different values than the other value axis.</t>
  </si>
  <si>
    <t xml:space="preserve">• The x-axis along the bottom is called the horizontal axis. </t>
  </si>
  <si>
    <t xml:space="preserve">• The y-axis that runs up and down is called the vertical axis. </t>
  </si>
  <si>
    <t xml:space="preserve">When we created the PivotTable, we clicked a few buttons so that the data could be summarized. Now we know which product is the most profitable. </t>
  </si>
  <si>
    <t>Create a PivotTable</t>
  </si>
  <si>
    <t>Now you’ll create the PivotTable yourself so that you know how to make one when you need to summarize data.</t>
  </si>
  <si>
    <t>Go to cell A58 for the next instruction.</t>
  </si>
  <si>
    <t>Create a PivotTable to analyze worksheet data</t>
  </si>
  <si>
    <t>Use the Field List to arrange fields in a PivotTable</t>
  </si>
  <si>
    <t>Cells C5 through G13 contain data. Go to any cell within that region, for example, cell D8. Press CTRL+G, type D8, then press Enter.</t>
  </si>
  <si>
    <t>Notice how the two columns are created, formatted, and the text Jan and Feb are filled in cells H5 and I5 for you.</t>
  </si>
  <si>
    <t>Go to cell H34: Total.</t>
  </si>
  <si>
    <t xml:space="preserve">The SUM formula gets automatically filled down for you so that you don’t have to do it yourself. </t>
  </si>
  <si>
    <t>Go to any cell within the range above, for example cell D57.</t>
  </si>
  <si>
    <t>But what if you wanted to know the average? Select cell E62: $24,000.</t>
  </si>
  <si>
    <t xml:space="preserve">GOOD TO KNOW: There's a shortcut for showing and hiding the total row. Select inside the table, then press CTRL+SHIFT+T.
</t>
  </si>
  <si>
    <t>GOOD TO KNOW: Drop-down lists help ensure people enter valid data. So it makes sense that drop-downs are a part of a larger group of features known as data validation. 
There are other data validation methods. For example, you can restrict entry to whole numbers, dates, or even minimum and maximum amounts. There are many options available, and you can read more about them by selecting the link in cell A61.</t>
  </si>
  <si>
    <t xml:space="preserve">From cells F31 to F34, select a cell with a department. For example, select cell F33: Meat. </t>
  </si>
  <si>
    <t>Now you’ll set up the data validation again. Under cell D31: Department, select all of the blank cells from D32 through D43.</t>
  </si>
  <si>
    <t>Create a table by pressing CTRL+T, then Enter.</t>
  </si>
  <si>
    <t>You selected the values within the single column starting in cell F31: Department.</t>
  </si>
  <si>
    <t>Now go to cell D32 and press ALT+DOWN ARROW. There are only three departments in the drop-down list: Produce, Meat and Bakery. But if you add a new department in column F under cell F35: Bakery, this list will get updated with the new department. Try it.</t>
  </si>
  <si>
    <t xml:space="preserve">EXPERT TIP: Often people put their validation lists like this out of the way on another sheet. That way others won't be tempted to change the list.
</t>
  </si>
  <si>
    <t xml:space="preserve"> The cells under Oct, Nov, and Dec columns, cells E6 through G13 get special data bars that visualize their amounts.</t>
  </si>
  <si>
    <t>Now let's say you want to get rid of the data bars. Select the entire range of cells from C5 through G13, then press CTRL+Q to bring up the Quick Analysis panel again.</t>
  </si>
  <si>
    <t xml:space="preserve">GOOD TO KNOW: When you select cells, this Quick Analysis button appears. Aptly named, don't you think? You can always access the button by using the shortcut key: CRTL+Q. If you ever have a question about the data you selected, select this option and see if it gives you some answers. </t>
  </si>
  <si>
    <t>You can always use the Insert tab and create a chart. But here is another way to make a chart, using the Quick Analysis option. This time though, we'll use the keyboard shortcut:</t>
  </si>
  <si>
    <t>Go to a cell in the table between cells C5 through G13, for example go to cell E9, then press CTRL+Q. A Quick Analysis panel appears.</t>
  </si>
  <si>
    <t>Go to a cell inside the table between cells C34 and G42,  for example go to cell D38, then press Ctrl+Q.</t>
  </si>
  <si>
    <t>The Quick Analysis panel appears. Press RIGHT ARROW until you find Charts.</t>
  </si>
  <si>
    <t>Press the Tab key to enter the Charts options and Enter to select Clustered… .</t>
  </si>
  <si>
    <t>Go to a cell inside the table between cells C55 and G62, then press Ctrl+Q.</t>
  </si>
  <si>
    <t>On the Quick Analysis panel that appears, press the RIGHT ARROW until you find Sparklines, then press Tab to select the Line option. Press Enter to add Sparklines to the table.</t>
  </si>
  <si>
    <t>Sparklines appear to the right of the Dec column in cells H55 through H62. Each line represents the data for that row, and shows whether the amounts go up or down.</t>
  </si>
  <si>
    <t>Go to any cell in the table between cells C5 and D11, for example go to cell C6. Press CTRL+G, type C6, then press Enter.</t>
  </si>
  <si>
    <t>Press A to Add chart element, then press DOWN ARROW to find the Trendline option. Press RIGHT ARROW to open the Trendline options then DOWN ARROW to navigate to the Linear option, then press Enter. Now you have a trendline that shows the general direction of the units sold over time.</t>
  </si>
  <si>
    <t>A popular example is in the chart on the right starting in cell D52.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select the hyperlink in cell A70.</t>
  </si>
  <si>
    <t>Look through the Date, Salesperson, Product and Amount columns. Can you quickly identify which product is the most profitable? Or which salesperson is the leading seller? That’s where the PivotTable in cells E11 through F15 can help.</t>
  </si>
  <si>
    <t>Press ALT+Q and type what you want to know.</t>
  </si>
  <si>
    <t>Type =SUM(D4:D7), then press ENTER.</t>
  </si>
  <si>
    <t>The result in cell G8 is 140.</t>
  </si>
  <si>
    <t xml:space="preserve">Cells C37 through D41 contain data with two columns: Fruit and Amount. </t>
  </si>
  <si>
    <t>The formula in cell D42: =SUM(D38:D41).</t>
  </si>
  <si>
    <t>If the SUM function in cell D42 could talk, it would say this: Sum up the values in cells D38, D39, D40, and D41.</t>
  </si>
  <si>
    <t xml:space="preserve">Cells F47 through G51 contain data with two columns: Item and Amount. </t>
  </si>
  <si>
    <t>Cells E53 through E54 contain data with one column: Total.</t>
  </si>
  <si>
    <t>If the formula in cell E54 could talk, it would say: Sum the following: the value in cell D48, the values in cells G48, G49, G50, and G51, and 100.</t>
  </si>
  <si>
    <t>The formula in cell E54 uses the following:</t>
  </si>
  <si>
    <t xml:space="preserve">• A range of cells, which is a series of cells starting at one cell and ending at another. G48:G51 is the range of cells in the formula. </t>
  </si>
  <si>
    <t xml:space="preserve">• A constant, which is the number 100. </t>
  </si>
  <si>
    <t>Go to cell G8. Press ALT+=, then press ENTER.</t>
  </si>
  <si>
    <t>Here's another way to add. Cells C10 through D15 have two columns of data: Item and Amount.</t>
  </si>
  <si>
    <t>EXTRA CREDIT: Cells F10 through G15 contain data with two columns: Item and Amount. Go to cell G16. Try adding another SUMIF formula here. Add amounts in column G, cells G11 to G15 but add amounts that are less than 100. The result should be 160.</t>
  </si>
  <si>
    <t xml:space="preserve">We also showed you the SUMIF function at the top of this sheet in cells A10 and A11. The SUMIF function sums up totals based on a criterion. </t>
  </si>
  <si>
    <t xml:space="preserve">Cells C72 through D77 contain data with two columns: Item and Amount. </t>
  </si>
  <si>
    <t>If the SUMIF function could talk, it would say this: Sum up some values based on this criterion, look through these cells D73 through D77, and if the value is greater than 50 sum it up.</t>
  </si>
  <si>
    <t xml:space="preserve">Cells F72 through G77 contain data with two columns: Item and Amount. </t>
  </si>
  <si>
    <t>Cells C3 through G7 contain data with five columns: "This:" column, which contains the number 50 in each cell; "Plus this:" column, which contains the numbers 50, 60, 70, and 80; "Equals:" column, with cell E4 containing a sum of cells C4 and D4; "Plus this:" column, which contains the number 75 in each cell; and "Equals:" column with cell G4 containing the sum of cells E4 and F4.</t>
  </si>
  <si>
    <t>Select cells E4, E5, E6, and E7 by holding the SHIFT key while pressing the ARROW DOWN key, then press CTRL+D. Excel will automatically fill the cells with the totals: 110, 120, and 130. People call this “filling down.”</t>
  </si>
  <si>
    <t>EXTRA CREDIT: Go to cell G4 and repeat the fill down steps above.</t>
  </si>
  <si>
    <t>Cells C10 through G14 contain data with five columns. These columns contain the heading from C3 to G3 and the values from cells C4 to G7 after executing steps in cells A5 and A6.</t>
  </si>
  <si>
    <t xml:space="preserve">Cells C33 to cell F37 contain four columns: Department, Category, Product, and Count. </t>
  </si>
  <si>
    <t>Go to cell C34. Select C34, C35, C36, C37 and press CTRL+D. The value in C34 is filled down into the selected cells.</t>
  </si>
  <si>
    <t>Press ALT+H to enter the Home tab above the ribbon, then press FI to select Fill options. Arrow down to select Flash Fill from the list or press F. Now the last names are in their own column, from cells E5 through E9.</t>
  </si>
  <si>
    <t xml:space="preserve">Go to cell C32. Select all cells C32 through C39: Nancy all the way down to Yvonne. </t>
  </si>
  <si>
    <t>Press ALT+A to enter the Data tab above the ribbon, then press E to select Text to Columns within the Data Tools section. Convert Text to Columns Wizard - Step 1 of 3 appears. Make sure that Delimited radio button is selected, then press Enter. Use the Tab key to navigate the dialogue.</t>
  </si>
  <si>
    <t>Convert Text to Columns Wizard - Step 2 of 3: Tab to find the Comma option under Delimiters. Make sure that Comma is the only checkbox selected, then tab to select Next and press Enter.</t>
  </si>
  <si>
    <t xml:space="preserve">Convert Text to Columns Wizard - Step 3 of 3: press Tab and select only the General option. </t>
  </si>
  <si>
    <t>Finally, press tab until you enter the Destination text box. Type $D$32, then press Enter.</t>
  </si>
  <si>
    <t>WORTH EXPLORING: There's another way of working with data. You can query an external source, and you can split the data that comes from the source. You do that once, and the data is refreshable and easy to work with from that moment on. Curious? Select the Data tab (ALT+A), then explore the options in the Get &amp; Transform area (press one of the following: PN, FT, FW, PT, PR, or X). Or, go to cell A80 for More information on the web.</t>
  </si>
  <si>
    <t xml:space="preserve">Select cell G56: Francis. Here we used almost the same formula as in cell A51, but instead of extracting characters from cell C56, it extracts them from cell F56. 
</t>
  </si>
  <si>
    <t xml:space="preserve">Press ALT+H to enter the Home tab above the ribbon, then press V to select Paste options. Arrow down or press S to select Paste Special. </t>
  </si>
  <si>
    <t>Press Tab until you find Transpose. Press the Space Bar to select Transpose, then press Enter.</t>
  </si>
  <si>
    <t xml:space="preserve">Let's say you want the departments in alphabetical order. Select the Department column, go to cell C5. Press CTRL+G, type C5, then press Enter. Now press ALT+H to enter the Home tab above the ribbon, then press S to enter the Sort &amp; Filter options. Use the arrow keys to find the option to Sort A to Z, or press S, then press Enter. </t>
  </si>
  <si>
    <t xml:space="preserve">Sort December's amounts from big to small. Select the December column cell, go to G5, then select cells G5 through G13. Press ALT+H to enter the Home tab above the ribbon, then press S for Sort &amp; Filter options. Notice the options changed from Sort A to Z to Sort Largest to Smallest and so forth. Use the arrow keys to find the option to Sort Largest to Smallest, then press Enter. </t>
  </si>
  <si>
    <t>Now you'll filter the data so that only the Bakery rows appear. Go to cell G5, Dec. Press CTRL+A to select all of the cells, then press ALT+H to enter the Home tab. Press S to enter the Sort &amp; Filter options, then use the arrow keys to find the Filter option or press F.</t>
  </si>
  <si>
    <t>Filter buttons appear on the top row from cell C5 to G5. Go to the Department cell, C5, and press ALT+DOWN ARROW then DOWN ARROW and SPACE BAR to clear the Select All checkbox. Then, use the arrow keys to find Bakery and press Space Bar, then press Enter.</t>
  </si>
  <si>
    <t xml:space="preserve">EXTRA CREDIT: Try sorting alphabetically by two columns. Here's how: First sort Department alphabetically (refer to steps in cell A3 above). Then select the Home tab and Sort &amp; Filter options. Find Custom Sort and add a second level for Category. After you select OK, Department will be sorted, and within each department, Category rows will be sorted in alphabetical order as well. </t>
  </si>
  <si>
    <t>Cells C31 through F31 contain data with four columns: Expense date, Employee, Food, and Hotel.</t>
  </si>
  <si>
    <t>Cells C5 to G13 contain five columns: Departments, Categories, and Amounts for the months Oct, Nov, Dec.</t>
  </si>
  <si>
    <t>There are many ways to sort in Excel. Here are just two more ways to sort:</t>
  </si>
  <si>
    <t>You want the Expense dates in order. So, select Expense date header, cell C31, then press ALT+DOWN ARROW and use the arrow keys to find Sort Oldest to Newest. Press Enter. The rows get sorted in ascending date order by the Expense date.</t>
  </si>
  <si>
    <t>Cells C49 through F49 contain data with four columns: Expense date, Employee, Food, and Hotel.</t>
  </si>
  <si>
    <t>Press ALT+N to enter the Insert tab above the ribbon, then press T and press Enter. Or, press shortcut key combination CTRL+T, then Enter.</t>
  </si>
  <si>
    <t xml:space="preserve">You can also create new rows easily. Go to the empty cell under cell C13: Meat. Type some text, then press Enter. A new row for the table appears. </t>
  </si>
  <si>
    <t>Cells C33 through H41 contain data with six columns: Department, Category, Oct, Nov, Dec, and Total.</t>
  </si>
  <si>
    <t>Press ALT+=, then press Enter.</t>
  </si>
  <si>
    <t>Cells C54 through E61 contain data with three columns: Department, Category, and Sales.</t>
  </si>
  <si>
    <t>At the top of the Excel window, the Table Tools Design tab will appear. Press ALT+JT to enter the Design tab above the ribbon, then press T to select Total Row from within the Table Styles Options.</t>
  </si>
  <si>
    <t>A new row is added at the bottom of the table in cells C62 through E62.</t>
  </si>
  <si>
    <t xml:space="preserve">The total of $24,000 is added to the total row, in cell E62 . </t>
  </si>
  <si>
    <t>Press ALT+DOWN ARROW, then use the arrow keys to find the Average option and press Enter. The average amount of $3,000 appears.</t>
  </si>
  <si>
    <t>Cells C3 through D15 contain data with two columns: Food and Department.</t>
  </si>
  <si>
    <t>Go to cell D4. Press CTRL+G, type D4, then press Enter. Select all cells from D4 to D15.</t>
  </si>
  <si>
    <t>In the Source text box, type Produce, Meat, Bakery. Make sure to put commas in between each name. Press Enter when you’re done.</t>
  </si>
  <si>
    <t>Cells C31 through D43 contain data with two columns: Food and Department. Cells F31 through F34 contain data with one column: Department.</t>
  </si>
  <si>
    <t>In the Source text box, type =$F$32:$F$34, then press Enter.</t>
  </si>
  <si>
    <t>Cells C5 through G13 contain data in five columns: Department, Category, Oct, Nov, and Dec.</t>
  </si>
  <si>
    <t>Cells C34 through G42 contain data with five columns: Department, Category, Oct, Nov, and Dec.</t>
  </si>
  <si>
    <t>Cells C54 through G62 contain data with five columns: Department, Category, Oct, Nov, and Dec.</t>
  </si>
  <si>
    <t>To clear the sparklines, select cells H55 through H62. Press ALT+JD to enter The Sparkline Tools Design tab above the ribbon. Press C to select the Clear option, then press C again to select to Clear Selected Sparklines.</t>
  </si>
  <si>
    <t>Several recommendations will appear. Press Tab to enter the list and use the arrow keys to find an option called Clustered Columns, then press Enter.</t>
  </si>
  <si>
    <t>Cells D67 through F73 contain data with three columns: Date, Conference attendance, and Food sales. Food Sales column contains data that supports the secondary axis for the chart described above.</t>
  </si>
  <si>
    <t>Cells C3 through F9 contain data with four columns: Date, Salesperson, Product, and Amount.</t>
  </si>
  <si>
    <t>Cells C34 through F40 contain data with four columns: Date, Salesperson, Product, and Amount.</t>
  </si>
  <si>
    <t>Welcome to the tour. 
Instructions for screen readers: In just 10 steps, you'll be up and running with Excel, the world's most popular spreadsheet app. 
There are 11 more sheets in this tour. The instructions for each sheet start in cell A1, and each subsequent step is in cell A2, A3, and so on. 
The instructions will indicate which cells to navigate to for use of a feature, or further reading.
To start, press CTRL+PAGE DOWN.</t>
  </si>
  <si>
    <t>Keep going. There is more to learn with Excel:</t>
  </si>
  <si>
    <t xml:space="preserve">Cells C47 through D48 contain data with two columns: Item and Amount. </t>
  </si>
  <si>
    <t xml:space="preserve">Go to cell F49: Hotel. Press ALT+DOWN ARROW, then use the arrow keys to find Number Filters option. Press RIGHT ARROW to enter Number Filters list and use the arrow keys to find the Above Average option, then press Enter. Excel calculates the average amount of the Hotel column, and then shows only rows with amounts greater than that average. </t>
  </si>
  <si>
    <t>Now add a second filter. Go to cell E49: Food. Press ALT+DOWN ARROW, then use the arrow keys to find the Number Filters option. Press RIGHT ARROW to enter the Number Filters list. Use the arrow keys to find the Greater than... option, then type 25 and press Enter. Of the three rows that were filtered for above average, Excel shows two rows with Food amounts greater than 25</t>
  </si>
  <si>
    <t>You can also create columns easily:  Go to any cell between H5 and H14, for example H10. Type some text, then press Enter. A new column for the table appears. Repeat the process to add a new column in column I.</t>
  </si>
  <si>
    <t xml:space="preserve">EXTRA CREDIT: Try changing the table style. First select a cell inside the table between cells C5 and I14. The Table Tools Design tab will appear at the top of Excel. Press ALT+JT to enter the Design tab above the ribbon, then press S to enter Table Styles. Use arrow keys to navigate the options and select a table style you like.
</t>
  </si>
  <si>
    <t>Now select cell D4, which is the cell next to Apples in C4. Press ALT+DOWN ARROW. You'll see a drop-down menu with the three items you added: Produce, Meat, and Bakery.</t>
  </si>
  <si>
    <t>A new clustered column chart appears and is selected. Use your arrow keys to move it anywhere you’d like. Within the chart each product has three columns, one for each month of sales: Oct, Nov, and Dec.</t>
  </si>
  <si>
    <t xml:space="preserve">EXTRA CREDIT: Want a data table directly under the chart? Select the chart. Press ALT+JC, to enter the Chart Tools Design tab. Then press A to Add Chart Element. Press DOWN ARROW to find the Data Table option then press RIGHT ARROW to open the Data Table options. Press DOWN ARROW until you find the With Legend Keys option. Select With Legend Keys, then press Enter to add Legend Keys to the chart.
</t>
  </si>
  <si>
    <t>A Create PivotTable dialogue appears. Focus is on Select a table or range. Leave this radio button option selected press Tab to choose where you want the PivotTable report to be placed. The default option is selected: New Worksheet. Press DOWN ARROW to select Existing Worksheet. Press Tab to enter the Location text box and type C42, then press Enter.</t>
  </si>
  <si>
    <t>Here's another way to add, using a shortcut key. Cells F3 through G7 contain data with two columns: Meat and Amount.</t>
  </si>
  <si>
    <t>Go to cell D5. Press CTRL+G, type D5, then press Enter. Type the first name that is in the Email column in cell C5: Nancy.</t>
  </si>
  <si>
    <t>Go to cell D6. Press CTRL+E, a shortcut for Flash Fill.</t>
  </si>
  <si>
    <t xml:space="preserve">To transpose this data, you need to select some blank cells first. Since the data in cells C33 to H34 on the right has six columns and two rows, you need to select the opposite: two columns and six rows. Do this by selecting cells C40 to D45. </t>
  </si>
  <si>
    <t>Cells C5 through D11 contain data with two columns: Year and Conference attendance.</t>
  </si>
  <si>
    <t>Now press ALT+N to enter The Insert Charts tab above the ribbon. Press R to bring up Recommended Charts options.</t>
  </si>
  <si>
    <t xml:space="preserve">Now you'll add a trendline. Select the chart you just created, and press ALT+JC to enter the Chart Tools Design tab above the ribbon. </t>
  </si>
  <si>
    <t>Go back to top by pressing CTRL+HOME. To start the tour, press CTRL+PAGE DOWN.</t>
  </si>
  <si>
    <t xml:space="preserve">LinkedIn Learning: Video courses for all levels—from beginner to advanced. Take at your own pace.
</t>
  </si>
  <si>
    <t xml:space="preserve">Community: Ask questions and connect with other Excel fans.
</t>
  </si>
  <si>
    <t xml:space="preserve">• A value axis represents numerical values. For example, a value axis can represent dollars, hours, duration, temperature, and so on.  The vertical axis in the chart on the right starting in cell D30 is a value axis. </t>
  </si>
  <si>
    <t xml:space="preserve">What else is new?
Office 365 subscribers get continual updates and new features.
</t>
  </si>
  <si>
    <t xml:space="preserve">This is kind of tricky, so pay close attention. With those cells still selected, type the following: =TRANSPOSE(C33:H34) but don’t press Enter. Instead press CTRL+SHIFT+ENTER. If you get an error or #VALUE! as a result, try again starting at instruction in cell A29. 
</t>
  </si>
  <si>
    <t>Press Tab key to enter Formatting options, then press Enter to select Data Bars.</t>
  </si>
  <si>
    <t>Press Tab key to enter Formatting options, then press RIGHT ARROW to find Clear…, then press Enter.</t>
  </si>
  <si>
    <t>Select a cell inside the table. For example go to cell E38, then press ALT+JT to enter the Design menu above the ribbon. Press V to insert a PivotTable.</t>
  </si>
  <si>
    <t xml:space="preserve">EXTRA CREDIT: Try making a combo chart. Select the entire table from cells D67 through F73. Use the Quick Analysis option, CTRL+Q, to find the Charts option. Press Tab to enter the Charts options, then press RIGHT ARROW to select More... . The Recommended Charts options appear. Press RIGHT ARROW to select the All Charts tab, then press DOWN ARROW until you find the Combo option, listed at the bottom. Tab twice to enter the Series name: . Press DOWN ARROW twice to find "Food Sales", then press Tab twice to select the Secondary Axis option. Press SPACE BAR to enable this option, then press Enter. 
</t>
  </si>
  <si>
    <t xml:space="preserve">The PivotTable Fields pane appears on the right. Press SHIFT+F6 until you come to  the Search text box: Type words to search for edit. </t>
  </si>
  <si>
    <t>Press Tab to enter the list of categories. Press DOWN ARROW to find Product checkbox. Press Spacebar to select Product.
When you do that, the Product field gets added to the Rows area at the bottom of the pane. And, the product data appears as Row labels in the new PivotTable.</t>
  </si>
  <si>
    <t xml:space="preserve">Now press DOWN ARROW to find Amount checkbox. 
When you do that, the Amount field will get added to the Values area at the bottom of the pane. And, at the same time the amounts are totaled for each product in the PivotTable.
</t>
  </si>
  <si>
    <t>Congratulations, you made a PivotTable. But there is a lot more you can do. So go to cell A60 if you want to learn more.</t>
  </si>
  <si>
    <t>Free Excel training online</t>
  </si>
  <si>
    <t>A column chart appears showing total number of conference attendees per year. Use the arrow keys to move the chart anywhere you'd like.</t>
  </si>
  <si>
    <t xml:space="preserve">• A category axis represents things like dates, people names, product names. The horizontal axis in the chart on the right starting in cell D30 has years so this is a category axis. </t>
  </si>
  <si>
    <t>Someone filled three cells with yellow. You can sort the rows by that color. Go to cell F31, then press ALT+DOWN ARROW and use the arrow keys to find the Sort by Color option.  Press Right Arrow to select the highlight color "yellow" rgb color 255, 255, 0, then Press Enter. The highlighted cells are automatically sorted to the top within the column.</t>
  </si>
  <si>
    <t>Now add only the numbers over 50. Go to cell D16. Type =SUMIF(D11:D15,"&gt;50"), then press Enter. The result is 100.</t>
  </si>
  <si>
    <t>The formula in cell E54: =SUM(D48, G48:G51,100).</t>
  </si>
  <si>
    <t>The formula in cell D78: =SUMIF(D73:D77,"&gt;50").</t>
  </si>
  <si>
    <t xml:space="preserve">GOOD TO KNOW: Go to cell G78. The formula in cell G78: =SUMIF(G73:G77, "&gt;=50") is different from the formula in cell D78. Specifically, the sum criteria is "&gt;=50" which means greater than or equal to 50. There are other operators you can use like "&lt;=50" which is less than or equal to 50. And there's "&lt;&gt;50" which is not equals 50. 
</t>
  </si>
  <si>
    <t>Go to cell E56: Yvonne.  We used the LEFT function to extract characters from the left side of cell C56. And to specify the number of characters to extract, we used the FIND function. Here's how the formula "=LEFT(C56,FIND(" ",C56)-1)" works:</t>
  </si>
  <si>
    <t>Here's how this formula "=RIGHT(C56,LEN(C56)-FIND(" ",C56))" works:</t>
  </si>
  <si>
    <t xml:space="preserve">Select cell H56: McKay. This is the same formula as in step A57, but it extracts characters from F56 instead of cell C56. </t>
  </si>
  <si>
    <t xml:space="preserve">Next you’ll pivot the data so that you can find out which salesperson is the leading seller. Press CTRL+G, type E12, then press Enter. Your selection is now inside the PivotTable. </t>
  </si>
  <si>
    <t xml:space="preserve">Press SHIFT+F6 until  you enter the PivotTable Fields pane. If the pane isn't open, press ALT+JT, then L to launch the PivotTable Fields pane. Focus will default to the Search text box: "Type words to search for" edit. Press TAB until you reach Product button. Press Spacebar to enter the context menu, then press DOWN ARROW until you access Remove field. Press Enter. </t>
  </si>
  <si>
    <t xml:space="preserve"> </t>
  </si>
  <si>
    <t>Now, press TAB until you access the categories list: Date, Salesperson, Product and Amount. Use your arrows to find the Salesperson checkbox. Press Spacebar to add the Salesperson field. Then press SHIFT+F6 until you access the PivotTableSample table. Then move to cell F12. Anne is the leading salesperson with 2150.</t>
  </si>
  <si>
    <t>On the Data tab, select Data Validation, or press ALT+A,V to open the Data Validation dialogue box. Tab to Allow and select List. Press the tab key again.</t>
  </si>
  <si>
    <t>On the Data tab, select Data Validation, or press ALT+A,V to open the Data Validation dialogue box. Tab to Allow and press DOWN ARROW to select List. Press the tab key again.</t>
  </si>
  <si>
    <t>Zeilenbeschriftungen</t>
  </si>
  <si>
    <t>Gesamtergebnis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</si>
</sst>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_);\(&quot;$&quot;#,##0\)"/>
    <numFmt numFmtId="165" formatCode="&quot;$&quot;#,##0_);[Red]\(&quot;$&quot;#,##0\)"/>
    <numFmt numFmtId="166" formatCode="_(&quot;$&quot;* #,##0_);_(&quot;$&quot;* \(#,##0\);_(&quot;$&quot;* &quot;-&quot;_);_(@_)"/>
    <numFmt numFmtId="167" formatCode="yyyy;@"/>
    <numFmt numFmtId="168" formatCode="_(&quot;$&quot;* #,##0_);_(&quot;$&quot;* \(#,##0\);_(&quot;$&quot;* &quot;-&quot;??_);_(@_)"/>
  </numFmts>
  <fonts count="15" x14ac:knownFonts="1">
    <font>
      <sz val="11"/>
      <color theme="1"/>
      <name val="Calibri"/>
      <family val="2"/>
      <scheme val="minor"/>
    </font>
    <font>
      <sz val="11"/>
      <color theme="1"/>
      <name val="Calibri"/>
      <family val="2"/>
      <scheme val="minor"/>
    </font>
    <font>
      <u/>
      <sz val="11"/>
      <color theme="11"/>
      <name val="Calibri"/>
      <family val="2"/>
      <scheme val="minor"/>
    </font>
    <font>
      <sz val="12"/>
      <color theme="1" tint="0.249977111117893"/>
      <name val="Segoe UI"/>
      <family val="2"/>
    </font>
    <font>
      <sz val="12"/>
      <color theme="1" tint="0.249977111117893"/>
      <name val="Segoe UI"/>
      <family val="2"/>
    </font>
    <font>
      <sz val="26"/>
      <color theme="2" tint="-0.749992370372631"/>
      <name val="Segoe UI Light"/>
      <family val="2"/>
    </font>
    <font>
      <sz val="11"/>
      <color theme="0"/>
      <name val="Calibri"/>
      <family val="2"/>
      <scheme val="minor"/>
    </font>
    <font>
      <b/>
      <sz val="11"/>
      <color theme="1"/>
      <name val="Calibri"/>
      <family val="2"/>
      <scheme val="minor"/>
    </font>
    <font>
      <sz val="12"/>
      <color theme="1"/>
      <name val="Segoe UI"/>
      <family val="2"/>
    </font>
    <font>
      <sz val="24"/>
      <color theme="1"/>
      <name val="Segoe UI"/>
      <family val="2"/>
    </font>
    <font>
      <sz val="11"/>
      <color rgb="FF0B744D"/>
      <name val="Calibri"/>
      <family val="2"/>
      <scheme val="minor"/>
    </font>
    <font>
      <sz val="26"/>
      <color theme="2" tint="-0.749992370372631"/>
      <name val="Calibri"/>
      <family val="2"/>
      <scheme val="minor"/>
    </font>
    <font>
      <sz val="12"/>
      <color theme="1" tint="0.249977111117893"/>
      <name val="Calibri"/>
      <family val="2"/>
      <scheme val="minor"/>
    </font>
    <font>
      <sz val="72"/>
      <color theme="0"/>
      <name val="Segoe UI"/>
      <family val="2"/>
      <scheme val="major"/>
    </font>
    <font>
      <sz val="17"/>
      <color theme="0"/>
      <name val="Calibri"/>
      <family val="2"/>
      <scheme val="min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2">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s>
  <cellStyleXfs count="25">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10"/>
    <xf numFmtId="0" fontId="1" fillId="3" borderId="1"/>
    <xf numFmtId="0" fontId="1" fillId="0" borderId="8"/>
    <xf numFmtId="164" fontId="1" fillId="0" borderId="0" applyFont="0" applyFill="0" applyBorder="0" applyAlignment="0" applyProtection="0"/>
    <xf numFmtId="0" fontId="6" fillId="0" borderId="0"/>
    <xf numFmtId="0" fontId="10" fillId="0" borderId="0" applyFill="0" applyBorder="0">
      <alignment wrapText="1"/>
    </xf>
    <xf numFmtId="166" fontId="1" fillId="0" borderId="0" applyFont="0" applyFill="0" applyBorder="0" applyAlignment="0" applyProtection="0"/>
    <xf numFmtId="0" fontId="13" fillId="6" borderId="0" applyNumberFormat="0" applyBorder="0" applyProtection="0">
      <alignment horizontal="left" indent="1"/>
    </xf>
    <xf numFmtId="0" fontId="14" fillId="6" borderId="0" applyNumberFormat="0" applyProtection="0">
      <alignment horizontal="left" wrapText="1" indent="4"/>
    </xf>
    <xf numFmtId="0" fontId="10" fillId="6" borderId="0" applyNumberFormat="0" applyProtection="0">
      <alignment horizontal="left" wrapText="1" indent="4"/>
    </xf>
    <xf numFmtId="0" fontId="6" fillId="2" borderId="0" applyNumberFormat="0" applyBorder="0" applyProtection="0"/>
    <xf numFmtId="0" fontId="7" fillId="0" borderId="0" applyNumberFormat="0" applyFill="0" applyBorder="0" applyAlignment="0" applyProtection="0"/>
    <xf numFmtId="0" fontId="1" fillId="0" borderId="11" applyNumberFormat="0" applyFont="0" applyFill="0" applyAlignment="0"/>
    <xf numFmtId="0" fontId="1" fillId="0" borderId="3" applyNumberFormat="0" applyFont="0" applyFill="0" applyAlignment="0"/>
    <xf numFmtId="0" fontId="1" fillId="0" borderId="4" applyNumberFormat="0" applyFont="0" applyFill="0" applyAlignment="0"/>
    <xf numFmtId="0" fontId="1" fillId="0" borderId="6" applyNumberFormat="0" applyFont="0" applyFill="0" applyAlignment="0"/>
    <xf numFmtId="0" fontId="1" fillId="0" borderId="5" applyNumberFormat="0" applyFont="0" applyFill="0"/>
    <xf numFmtId="0" fontId="1" fillId="0" borderId="7" applyNumberFormat="0" applyFont="0" applyFill="0" applyAlignment="0"/>
    <xf numFmtId="165" fontId="1" fillId="4" borderId="0" applyFont="0" applyBorder="0" applyAlignment="0"/>
    <xf numFmtId="14" fontId="1" fillId="0" borderId="0" applyFont="0" applyFill="0" applyBorder="0" applyAlignment="0"/>
    <xf numFmtId="167" fontId="1" fillId="0" borderId="0" applyFont="0" applyFill="0" applyBorder="0" applyAlignment="0"/>
  </cellStyleXfs>
  <cellXfs count="51">
    <xf numFmtId="0" fontId="0" fillId="0" borderId="0" xfId="0"/>
    <xf numFmtId="0" fontId="5" fillId="0" borderId="0" xfId="0" applyFont="1"/>
    <xf numFmtId="0" fontId="4" fillId="0" borderId="0" xfId="0" applyFont="1"/>
    <xf numFmtId="0" fontId="0" fillId="0" borderId="0" xfId="0" applyAlignment="1">
      <alignment horizontal="left"/>
    </xf>
    <xf numFmtId="0" fontId="3" fillId="0" borderId="0" xfId="0" applyFont="1" applyAlignment="1">
      <alignment horizontal="left"/>
    </xf>
    <xf numFmtId="0" fontId="0" fillId="3" borderId="0" xfId="0" applyFill="1"/>
    <xf numFmtId="0" fontId="1" fillId="3" borderId="0" xfId="3"/>
    <xf numFmtId="0" fontId="1" fillId="5" borderId="10" xfId="4"/>
    <xf numFmtId="0" fontId="0" fillId="3" borderId="0" xfId="3" applyFont="1"/>
    <xf numFmtId="0" fontId="6" fillId="2" borderId="0" xfId="0" applyFont="1" applyFill="1"/>
    <xf numFmtId="0" fontId="0" fillId="0" borderId="2" xfId="0" applyBorder="1"/>
    <xf numFmtId="0" fontId="0" fillId="0" borderId="9" xfId="0" applyBorder="1"/>
    <xf numFmtId="0" fontId="0" fillId="0" borderId="0" xfId="0" pivotButton="1"/>
    <xf numFmtId="0" fontId="8" fillId="0" borderId="0" xfId="0" applyFont="1"/>
    <xf numFmtId="0" fontId="9" fillId="0" borderId="0" xfId="0" applyFont="1"/>
    <xf numFmtId="0" fontId="9" fillId="0" borderId="0" xfId="0" applyFont="1" applyAlignment="1">
      <alignment vertical="center"/>
    </xf>
    <xf numFmtId="0" fontId="6" fillId="0" borderId="0" xfId="8"/>
    <xf numFmtId="0" fontId="10" fillId="6" borderId="0" xfId="9" applyFill="1">
      <alignment wrapText="1"/>
    </xf>
    <xf numFmtId="0" fontId="1" fillId="0" borderId="0" xfId="0" applyFont="1"/>
    <xf numFmtId="0" fontId="1" fillId="0" borderId="0" xfId="0" applyFont="1" applyAlignment="1">
      <alignment horizontal="left"/>
    </xf>
    <xf numFmtId="0" fontId="1" fillId="3" borderId="1" xfId="5"/>
    <xf numFmtId="0" fontId="1" fillId="0" borderId="0" xfId="0" applyFont="1" applyAlignment="1">
      <alignment horizontal="left" indent="1"/>
    </xf>
    <xf numFmtId="0" fontId="11" fillId="0" borderId="0" xfId="0" applyFont="1"/>
    <xf numFmtId="0" fontId="12" fillId="0" borderId="0" xfId="0" applyFont="1"/>
    <xf numFmtId="0" fontId="12" fillId="0" borderId="0" xfId="0" applyFont="1" applyAlignment="1">
      <alignment horizontal="left"/>
    </xf>
    <xf numFmtId="0" fontId="13" fillId="6" borderId="0" xfId="11">
      <alignment horizontal="left" indent="1"/>
    </xf>
    <xf numFmtId="0" fontId="14" fillId="6" borderId="0" xfId="12">
      <alignment horizontal="left" wrapText="1" indent="4"/>
    </xf>
    <xf numFmtId="0" fontId="6" fillId="2" borderId="0" xfId="14"/>
    <xf numFmtId="164" fontId="0" fillId="3" borderId="0" xfId="7" applyFont="1" applyFill="1"/>
    <xf numFmtId="0" fontId="0" fillId="3" borderId="11" xfId="16" applyFont="1" applyFill="1"/>
    <xf numFmtId="0" fontId="0" fillId="0" borderId="11" xfId="16" applyFont="1"/>
    <xf numFmtId="0" fontId="0" fillId="0" borderId="3" xfId="17" applyFont="1" applyFill="1"/>
    <xf numFmtId="0" fontId="0" fillId="0" borderId="4" xfId="18" applyFont="1" applyFill="1"/>
    <xf numFmtId="0" fontId="0" fillId="0" borderId="5" xfId="20" applyFont="1" applyFill="1"/>
    <xf numFmtId="165" fontId="0" fillId="0" borderId="0" xfId="0" applyNumberFormat="1"/>
    <xf numFmtId="165" fontId="0" fillId="4" borderId="0" xfId="22" applyFont="1"/>
    <xf numFmtId="164" fontId="0" fillId="0" borderId="0" xfId="7" applyFont="1"/>
    <xf numFmtId="164" fontId="0" fillId="0" borderId="0" xfId="7" applyFont="1" applyAlignment="1"/>
    <xf numFmtId="164" fontId="0" fillId="3" borderId="0" xfId="7" applyFont="1" applyFill="1" applyAlignment="1"/>
    <xf numFmtId="166" fontId="0" fillId="0" borderId="0" xfId="10" applyFont="1" applyAlignment="1">
      <alignment horizontal="right"/>
    </xf>
    <xf numFmtId="164" fontId="0" fillId="0" borderId="0" xfId="0" applyNumberFormat="1"/>
    <xf numFmtId="14" fontId="0" fillId="0" borderId="0" xfId="23" applyFont="1"/>
    <xf numFmtId="0" fontId="1" fillId="3" borderId="11" xfId="16" applyFont="1" applyFill="1"/>
    <xf numFmtId="0" fontId="7" fillId="3" borderId="0" xfId="15" applyFill="1"/>
    <xf numFmtId="0" fontId="6" fillId="2" borderId="0" xfId="14" applyNumberFormat="1" applyBorder="1"/>
    <xf numFmtId="0" fontId="0" fillId="0" borderId="6" xfId="0" applyBorder="1"/>
    <xf numFmtId="0" fontId="0" fillId="0" borderId="7" xfId="18" applyFont="1" applyFill="1" applyBorder="1"/>
    <xf numFmtId="0" fontId="6" fillId="2" borderId="0" xfId="14" applyBorder="1"/>
    <xf numFmtId="0" fontId="6" fillId="0" borderId="0" xfId="8" applyAlignment="1">
      <alignment wrapText="1"/>
    </xf>
    <xf numFmtId="0" fontId="10" fillId="6" borderId="0" xfId="13">
      <alignment horizontal="left" wrapText="1" indent="4"/>
    </xf>
    <xf numFmtId="164" fontId="1" fillId="3" borderId="0" xfId="7" applyFill="1"/>
  </cellXfs>
  <cellStyles count="25">
    <cellStyle name="Besuchter Hyperlink" xfId="1" builtinId="9" hidden="1"/>
    <cellStyle name="Besuchter Hyperlink" xfId="2" builtinId="9" hidden="1"/>
    <cellStyle name="Bottom Border" xfId="16" xr:uid="{00000000-0005-0000-0000-000000000000}"/>
    <cellStyle name="Bottom Green Border" xfId="19" xr:uid="{00000000-0005-0000-0000-000001000000}"/>
    <cellStyle name="Date" xfId="23" xr:uid="{00000000-0005-0000-0000-000004000000}"/>
    <cellStyle name="GrayCell" xfId="3" xr:uid="{00000000-0005-0000-0000-000007000000}"/>
    <cellStyle name="Highlight" xfId="22" xr:uid="{00000000-0005-0000-0000-00000C000000}"/>
    <cellStyle name="Left Border" xfId="6" xr:uid="{00000000-0005-0000-0000-00000D000000}"/>
    <cellStyle name="Left Bottom Green Border" xfId="20" xr:uid="{00000000-0005-0000-0000-00000E000000}"/>
    <cellStyle name="Left Green Border" xfId="17" xr:uid="{00000000-0005-0000-0000-00000F000000}"/>
    <cellStyle name="OrangeBorder" xfId="5" xr:uid="{00000000-0005-0000-0000-000011000000}"/>
    <cellStyle name="Right Bottom Green Border" xfId="21" xr:uid="{00000000-0005-0000-0000-000012000000}"/>
    <cellStyle name="Right Green Border" xfId="18" xr:uid="{00000000-0005-0000-0000-000013000000}"/>
    <cellStyle name="Standard" xfId="0" builtinId="0"/>
    <cellStyle name="Start Text" xfId="9" xr:uid="{00000000-0005-0000-0000-000014000000}"/>
    <cellStyle name="Überschrift" xfId="11" builtinId="15" customBuiltin="1"/>
    <cellStyle name="Überschrift 1" xfId="12" builtinId="16" customBuiltin="1"/>
    <cellStyle name="Überschrift 2" xfId="13" builtinId="17" customBuiltin="1"/>
    <cellStyle name="Überschrift 3" xfId="14" builtinId="18" customBuiltin="1"/>
    <cellStyle name="Überschrift 4" xfId="15" builtinId="19" customBuiltin="1"/>
    <cellStyle name="Währung" xfId="7" builtinId="4" customBuiltin="1"/>
    <cellStyle name="Währung [0]" xfId="10" builtinId="7"/>
    <cellStyle name="Year" xfId="24" xr:uid="{00000000-0005-0000-0000-000016000000}"/>
    <cellStyle name="YellowCell" xfId="4" xr:uid="{00000000-0005-0000-0000-000017000000}"/>
    <cellStyle name="z A Column text" xfId="8" xr:uid="{00000000-0005-0000-0000-000018000000}"/>
  </cellStyles>
  <dxfs count="12">
    <dxf>
      <numFmt numFmtId="164" formatCode="&quot;$&quot;#,##0_);\(&quot;$&quot;#,##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164" formatCode="&quot;$&quot;#,##0_);\(&quot;$&quot;#,##0\)"/>
    </dxf>
    <dxf>
      <alignment horizontal="general" vertical="bottom" textRotation="0" wrapText="0" indent="0" justifyLastLine="0" shrinkToFit="0" readingOrder="0"/>
    </dxf>
    <dxf>
      <numFmt numFmtId="164" formatCode="&quot;$&quot;#,##0_);\(&quot;$&quot;#,##0\)"/>
    </dxf>
    <dxf>
      <numFmt numFmtId="164" formatCode="&quot;$&quot;#,##0_);\(&quot;$&quot;#,##0\)"/>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CustomTableStyle" defaultPivotStyle="PivotStyleLight16">
    <tableStyle name="CustomTableStyle" pivot="0" count="2" xr9:uid="{00000000-0011-0000-FFFF-FFFF00000000}">
      <tableStyleElement type="headerRow" dxfId="11"/>
      <tableStyleElement type="firstRowStripe" dxfId="10"/>
    </tableStyle>
    <tableStyle name="PivotTable Style 1" table="0" count="2" xr9:uid="{00000000-0011-0000-FFFF-FFFF01000000}">
      <tableStyleElement type="headerRow" dxfId="9"/>
      <tableStyleElement type="totalRow" dxfId="8"/>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Charts'!$E$67</c:f>
              <c:strCache>
                <c:ptCount val="1"/>
                <c:pt idx="0">
                  <c:v>Conference attendance</c:v>
                </c:pt>
              </c:strCache>
            </c:strRef>
          </c:tx>
          <c:spPr>
            <a:solidFill>
              <a:schemeClr val="accent1"/>
            </a:solidFill>
            <a:ln>
              <a:noFill/>
            </a:ln>
            <a:effectLst/>
          </c:spPr>
          <c:invertIfNegative val="0"/>
          <c:cat>
            <c:numRef>
              <c:f>'9. Charts'!$D$68:$D$73</c:f>
              <c:numCache>
                <c:formatCode>General</c:formatCode>
                <c:ptCount val="6"/>
                <c:pt idx="0">
                  <c:v>2018</c:v>
                </c:pt>
                <c:pt idx="1">
                  <c:v>2019</c:v>
                </c:pt>
                <c:pt idx="2">
                  <c:v>2020</c:v>
                </c:pt>
                <c:pt idx="3">
                  <c:v>2021</c:v>
                </c:pt>
                <c:pt idx="4">
                  <c:v>2022</c:v>
                </c:pt>
                <c:pt idx="5">
                  <c:v>2023</c:v>
                </c:pt>
              </c:numCache>
            </c:numRef>
          </c:cat>
          <c:val>
            <c:numRef>
              <c:f>'9. Charts'!$E$68:$E$73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Charts'!$F$67</c:f>
              <c:strCache>
                <c:ptCount val="1"/>
                <c:pt idx="0">
                  <c:v>Food sales</c:v>
                </c:pt>
              </c:strCache>
            </c:strRef>
          </c:tx>
          <c:spPr>
            <a:ln w="28575" cap="rnd">
              <a:solidFill>
                <a:schemeClr val="accent2"/>
              </a:solidFill>
              <a:round/>
            </a:ln>
            <a:effectLst/>
          </c:spPr>
          <c:marker>
            <c:symbol val="none"/>
          </c:marker>
          <c:cat>
            <c:numRef>
              <c:f>'9. Charts'!$D$68:$D$73</c:f>
              <c:numCache>
                <c:formatCode>General</c:formatCode>
                <c:ptCount val="6"/>
                <c:pt idx="0">
                  <c:v>2018</c:v>
                </c:pt>
                <c:pt idx="1">
                  <c:v>2019</c:v>
                </c:pt>
                <c:pt idx="2">
                  <c:v>2020</c:v>
                </c:pt>
                <c:pt idx="3">
                  <c:v>2021</c:v>
                </c:pt>
                <c:pt idx="4">
                  <c:v>2022</c:v>
                </c:pt>
                <c:pt idx="5">
                  <c:v>2023</c:v>
                </c:pt>
              </c:numCache>
            </c:numRef>
          </c:cat>
          <c:val>
            <c:numRef>
              <c:f>'9. Charts'!$F$68:$F$73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0109584"/>
        <c:crosses val="autoZero"/>
        <c:crossBetween val="between"/>
      </c:valAx>
      <c:valAx>
        <c:axId val="741712280"/>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Charts'!$D$5</c:f>
              <c:strCache>
                <c:ptCount val="1"/>
                <c:pt idx="0">
                  <c:v>Conference attendance</c:v>
                </c:pt>
              </c:strCache>
            </c:strRef>
          </c:tx>
          <c:spPr>
            <a:solidFill>
              <a:schemeClr val="accent1"/>
            </a:solidFill>
            <a:ln>
              <a:noFill/>
            </a:ln>
            <a:effectLst/>
          </c:spPr>
          <c:invertIfNegative val="0"/>
          <c:cat>
            <c:numRef>
              <c:f>'9. Charts'!$C$6:$C$11</c:f>
              <c:numCache>
                <c:formatCode>General</c:formatCode>
                <c:ptCount val="6"/>
                <c:pt idx="0">
                  <c:v>2018</c:v>
                </c:pt>
                <c:pt idx="1">
                  <c:v>2019</c:v>
                </c:pt>
                <c:pt idx="2">
                  <c:v>2020</c:v>
                </c:pt>
                <c:pt idx="3">
                  <c:v>2021</c:v>
                </c:pt>
                <c:pt idx="4">
                  <c:v>2022</c:v>
                </c:pt>
                <c:pt idx="5">
                  <c:v>2023</c:v>
                </c:pt>
              </c:numCache>
            </c:numRef>
          </c:cat>
          <c:val>
            <c:numRef>
              <c:f>'9. Charts'!$D$6:$D$11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Ad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go.microsoft.com/fwlink/?linkid=844732"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Fill'!A1"/><Relationship Id="rId7" Type="http://schemas.openxmlformats.org/officeDocument/2006/relationships/hyperlink" Target="https://go.microsoft.com/fwlink/?linkid=844727" TargetMode="External"/><Relationship Id="rId12" Type="http://schemas.openxmlformats.org/officeDocument/2006/relationships/hyperlink" Target="#'10. PivotTables'!A1"/><Relationship Id="rId17" Type="http://schemas.openxmlformats.org/officeDocument/2006/relationships/image" Target="../media/image11.png"/><Relationship Id="rId2" Type="http://schemas.openxmlformats.org/officeDocument/2006/relationships/hyperlink" Target="#'1. Add'!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1. Add'!A62"/><Relationship Id="rId4" Type="http://schemas.openxmlformats.org/officeDocument/2006/relationships/hyperlink" Target="https://go.microsoft.com/fwlink/?linkid=844719" TargetMode="External"/><Relationship Id="rId9" Type="http://schemas.openxmlformats.org/officeDocument/2006/relationships/hyperlink" Target="https://go.microsoft.com/fwlink/?linkid=844737"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Fill'!A1"/><Relationship Id="rId13"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https://go.microsoft.com/fwlink/?linkid=844745" TargetMode="External"/><Relationship Id="rId2" Type="http://schemas.openxmlformats.org/officeDocument/2006/relationships/hyperlink" Target="#'3. Split'!A1"/><Relationship Id="rId16" Type="http://schemas.openxmlformats.org/officeDocument/2006/relationships/image" Target="../media/image16.svg"/><Relationship Id="rId1" Type="http://schemas.openxmlformats.org/officeDocument/2006/relationships/hyperlink" Target="#'2. Fill'!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go.microsoft.com/fwlink/?linkid=844741"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44751" TargetMode="External"/><Relationship Id="rId13" Type="http://schemas.openxmlformats.org/officeDocument/2006/relationships/image" Target="../media/image17.png"/><Relationship Id="rId3" Type="http://schemas.openxmlformats.org/officeDocument/2006/relationships/hyperlink" Target="#'3. Split'!A1"/><Relationship Id="rId7" Type="http://schemas.openxmlformats.org/officeDocument/2006/relationships/image" Target="../media/image4.svg"/><Relationship Id="rId12" Type="http://schemas.openxmlformats.org/officeDocument/2006/relationships/hyperlink" Target="https://go.microsoft.com/fwlink/?linkid=844740" TargetMode="External"/><Relationship Id="rId2" Type="http://schemas.openxmlformats.org/officeDocument/2006/relationships/image" Target="../media/image6.sv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go.microsoft.com/fwlink/?linkid=844736" TargetMode="External"/><Relationship Id="rId5" Type="http://schemas.openxmlformats.org/officeDocument/2006/relationships/hyperlink" Target="https://go.microsoft.com/fwlink/?linkid=844748" TargetMode="External"/><Relationship Id="rId15" Type="http://schemas.openxmlformats.org/officeDocument/2006/relationships/hyperlink" Target="#'3. Split'!A62"/><Relationship Id="rId10" Type="http://schemas.openxmlformats.org/officeDocument/2006/relationships/hyperlink" Target="https://go.microsoft.com/fwlink/?linkid=844733" TargetMode="External"/><Relationship Id="rId4" Type="http://schemas.openxmlformats.org/officeDocument/2006/relationships/hyperlink" Target="#'4. Transpose'!A1"/><Relationship Id="rId9" Type="http://schemas.openxmlformats.org/officeDocument/2006/relationships/hyperlink" Target="https://go.microsoft.com/fwlink/?linkid=844729"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go.microsoft.com/fwlink/?linkid=844743" TargetMode="External"/><Relationship Id="rId13" Type="http://schemas.openxmlformats.org/officeDocument/2006/relationships/image" Target="../media/image24.png"/><Relationship Id="rId3" Type="http://schemas.openxmlformats.org/officeDocument/2006/relationships/image" Target="../media/image20.png"/><Relationship Id="rId7" Type="http://schemas.openxmlformats.org/officeDocument/2006/relationships/hyperlink" Target="#'4. Transpose'!A1"/><Relationship Id="rId12" Type="http://schemas.openxmlformats.org/officeDocument/2006/relationships/hyperlink" Target="https://go.microsoft.com/fwlink/?linkid=844752" TargetMode="External"/><Relationship Id="rId2" Type="http://schemas.openxmlformats.org/officeDocument/2006/relationships/hyperlink" Target="#'5. Sort &amp; filter'!A1"/><Relationship Id="rId1" Type="http://schemas.openxmlformats.org/officeDocument/2006/relationships/hyperlink" Target="#'4. Transpose'!A62"/><Relationship Id="rId6" Type="http://schemas.openxmlformats.org/officeDocument/2006/relationships/image" Target="../media/image23.svg"/><Relationship Id="rId11" Type="http://schemas.openxmlformats.org/officeDocument/2006/relationships/hyperlink" Target="https://go.microsoft.com/fwlink/?linkid=844747" TargetMode="External"/><Relationship Id="rId5" Type="http://schemas.openxmlformats.org/officeDocument/2006/relationships/image" Target="../media/image22.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hyperlink" Target="#'5. Sort &amp; filter'!A1"/><Relationship Id="rId3" Type="http://schemas.openxmlformats.org/officeDocument/2006/relationships/hyperlink" Target="#'5. Sort &amp; filter'!A62"/><Relationship Id="rId7" Type="http://schemas.openxmlformats.org/officeDocument/2006/relationships/image" Target="../media/image8.svg"/><Relationship Id="rId12" Type="http://schemas.openxmlformats.org/officeDocument/2006/relationships/hyperlink" Target="https://go.microsoft.com/fwlink/?linkid=844750"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7.png"/><Relationship Id="rId11" Type="http://schemas.openxmlformats.org/officeDocument/2006/relationships/image" Target="../media/image4.svg"/><Relationship Id="rId5" Type="http://schemas.openxmlformats.org/officeDocument/2006/relationships/image" Target="../media/image27.png"/><Relationship Id="rId10" Type="http://schemas.openxmlformats.org/officeDocument/2006/relationships/image" Target="../media/image3.png"/><Relationship Id="rId4" Type="http://schemas.openxmlformats.org/officeDocument/2006/relationships/hyperlink" Target="#'6. Tables'!A1"/><Relationship Id="rId9" Type="http://schemas.openxmlformats.org/officeDocument/2006/relationships/hyperlink" Target="https://go.microsoft.com/fwlink/?linkid=844746" TargetMode="External"/></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png"/><Relationship Id="rId3" Type="http://schemas.openxmlformats.org/officeDocument/2006/relationships/image" Target="../media/image28.png"/><Relationship Id="rId7" Type="http://schemas.openxmlformats.org/officeDocument/2006/relationships/image" Target="../media/image12.svg"/><Relationship Id="rId12" Type="http://schemas.openxmlformats.org/officeDocument/2006/relationships/hyperlink" Target="https://go.microsoft.com/fwlink/?linkid=844726" TargetMode="External"/><Relationship Id="rId2" Type="http://schemas.openxmlformats.org/officeDocument/2006/relationships/hyperlink" Target="#'7. Drop-downs'!A1"/><Relationship Id="rId16" Type="http://schemas.openxmlformats.org/officeDocument/2006/relationships/hyperlink" Target="https://go.microsoft.com/fwlink/?linkid=844731" TargetMode="External"/><Relationship Id="rId1" Type="http://schemas.openxmlformats.org/officeDocument/2006/relationships/hyperlink" Target="#'6. Tables'!A62"/><Relationship Id="rId6" Type="http://schemas.openxmlformats.org/officeDocument/2006/relationships/image" Target="../media/image11.png"/><Relationship Id="rId11" Type="http://schemas.openxmlformats.org/officeDocument/2006/relationships/hyperlink" Target="#'6. Tables'!A1"/><Relationship Id="rId5" Type="http://schemas.openxmlformats.org/officeDocument/2006/relationships/image" Target="../media/image6.svg"/><Relationship Id="rId15" Type="http://schemas.openxmlformats.org/officeDocument/2006/relationships/hyperlink" Target="https://go.microsoft.com/fwlink/?linkid=844728" TargetMode="External"/><Relationship Id="rId10" Type="http://schemas.openxmlformats.org/officeDocument/2006/relationships/image" Target="../media/image29.png"/><Relationship Id="rId4" Type="http://schemas.openxmlformats.org/officeDocument/2006/relationships/image" Target="../media/image5.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go.microsoft.com/fwlink/?linkid=844742" TargetMode="External"/><Relationship Id="rId3" Type="http://schemas.openxmlformats.org/officeDocument/2006/relationships/image" Target="../media/image30.png"/><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hyperlink" Target="#'8. Analyze'!A1"/><Relationship Id="rId1" Type="http://schemas.openxmlformats.org/officeDocument/2006/relationships/hyperlink" Target="#'7. Drop-downs'!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25.png"/><Relationship Id="rId10" Type="http://schemas.openxmlformats.org/officeDocument/2006/relationships/hyperlink" Target="https://go.microsoft.com/fwlink/?linkid=844735" TargetMode="External"/><Relationship Id="rId4" Type="http://schemas.openxmlformats.org/officeDocument/2006/relationships/image" Target="../media/image31.png"/><Relationship Id="rId9" Type="http://schemas.openxmlformats.org/officeDocument/2006/relationships/hyperlink" Target="#'7. Drop-downs'!A1"/></Relationships>
</file>

<file path=xl/drawings/_rels/drawing9.xml.rels><?xml version="1.0" encoding="UTF-8" standalone="yes"?>
<Relationships xmlns="http://schemas.openxmlformats.org/package/2006/relationships"><Relationship Id="rId8" Type="http://schemas.openxmlformats.org/officeDocument/2006/relationships/image" Target="../media/image32.png"/><Relationship Id="rId3" Type="http://schemas.openxmlformats.org/officeDocument/2006/relationships/hyperlink" Target="https://go.microsoft.com/fwlink/?linkid=844725" TargetMode="External"/><Relationship Id="rId7" Type="http://schemas.openxmlformats.org/officeDocument/2006/relationships/hyperlink" Target="#'8. Analyze'!A62"/><Relationship Id="rId2" Type="http://schemas.openxmlformats.org/officeDocument/2006/relationships/hyperlink" Target="#'9. Charts'!A1"/><Relationship Id="rId1" Type="http://schemas.openxmlformats.org/officeDocument/2006/relationships/hyperlink" Target="#'8. Analyze'!A1"/><Relationship Id="rId6" Type="http://schemas.openxmlformats.org/officeDocument/2006/relationships/hyperlink" Target="https://go.microsoft.com/fwlink/?linkid=844730" TargetMode="Externa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44734" TargetMode="External"/><Relationship Id="rId3" Type="http://schemas.openxmlformats.org/officeDocument/2006/relationships/hyperlink" Target="#'9. Charts'!A62"/><Relationship Id="rId7" Type="http://schemas.openxmlformats.org/officeDocument/2006/relationships/hyperlink" Target="#'9. Charts'!A1"/><Relationship Id="rId12" Type="http://schemas.openxmlformats.org/officeDocument/2006/relationships/hyperlink" Target="https://go.microsoft.com/fwlink/?linkid=844739"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2.xml"/><Relationship Id="rId11" Type="http://schemas.openxmlformats.org/officeDocument/2006/relationships/hyperlink" Target="https://go.microsoft.com/fwlink/?linkid=844738" TargetMode="External"/><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10. PivotTables'!A1"/><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44749" TargetMode="External"/><Relationship Id="rId3" Type="http://schemas.openxmlformats.org/officeDocument/2006/relationships/image" Target="../media/image33.png"/><Relationship Id="rId7" Type="http://schemas.openxmlformats.org/officeDocument/2006/relationships/image" Target="../media/image4.svg"/><Relationship Id="rId2" Type="http://schemas.openxmlformats.org/officeDocument/2006/relationships/hyperlink" Target="#'Learn more'!A1"/><Relationship Id="rId1" Type="http://schemas.openxmlformats.org/officeDocument/2006/relationships/hyperlink" Target="#'10. PivotTables'!A62"/><Relationship Id="rId6" Type="http://schemas.openxmlformats.org/officeDocument/2006/relationships/image" Target="../media/image3.png"/><Relationship Id="rId5" Type="http://schemas.openxmlformats.org/officeDocument/2006/relationships/hyperlink" Target="https://go.microsoft.com/fwlink/?linkid=844744" TargetMode="External"/><Relationship Id="rId4" Type="http://schemas.openxmlformats.org/officeDocument/2006/relationships/hyperlink" Target="#'10. PivotTables'!A1"/></Relationships>
</file>

<file path=xl/drawings/_rels/drawing12.xml.rels><?xml version="1.0" encoding="UTF-8" standalone="yes"?>
<Relationships xmlns="http://schemas.openxmlformats.org/package/2006/relationships"><Relationship Id="rId8" Type="http://schemas.openxmlformats.org/officeDocument/2006/relationships/image" Target="../media/image38.svg"/><Relationship Id="rId3" Type="http://schemas.openxmlformats.org/officeDocument/2006/relationships/hyperlink" Target="http://go.microsoft.com/fwlink/?LinkId=844969" TargetMode="External"/><Relationship Id="rId7" Type="http://schemas.openxmlformats.org/officeDocument/2006/relationships/image" Target="../media/image37.png"/><Relationship Id="rId2" Type="http://schemas.openxmlformats.org/officeDocument/2006/relationships/hyperlink" Target="http://go.microsoft.com/fwlink/?LinkId=846285" TargetMode="External"/><Relationship Id="rId1" Type="http://schemas.openxmlformats.org/officeDocument/2006/relationships/image" Target="../media/image34.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hyperlink" Target="http://go.microsoft.com/fwlink/?LinkId=846286" TargetMode="External"/></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2276476</xdr:rowOff>
    </xdr:from>
    <xdr:to>
      <xdr:col>0</xdr:col>
      <xdr:colOff>2041238</xdr:colOff>
      <xdr:row>3</xdr:row>
      <xdr:rowOff>3273425</xdr:rowOff>
    </xdr:to>
    <xdr:pic>
      <xdr:nvPicPr>
        <xdr:cNvPr id="2" name="Picture 1" descr="Excel log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82820</xdr:colOff>
      <xdr:row>40</xdr:row>
      <xdr:rowOff>89000</xdr:rowOff>
    </xdr:from>
    <xdr:to>
      <xdr:col>6</xdr:col>
      <xdr:colOff>505223</xdr:colOff>
      <xdr:row>41</xdr:row>
      <xdr:rowOff>86653</xdr:rowOff>
    </xdr:to>
    <xdr:pic>
      <xdr:nvPicPr>
        <xdr:cNvPr id="2" name="Status bar graphic" descr="Status bar graphic Sum: 170">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srcRect t="5716"/>
        <a:stretch/>
      </xdr:blipFill>
      <xdr:spPr>
        <a:xfrm>
          <a:off x="8226695" y="8699600"/>
          <a:ext cx="1012953" cy="188153"/>
        </a:xfrm>
        <a:prstGeom prst="rect">
          <a:avLst/>
        </a:prstGeom>
      </xdr:spPr>
    </xdr:pic>
    <xdr:clientData/>
  </xdr:twoCellAnchor>
  <xdr:twoCellAnchor editAs="oneCell">
    <xdr:from>
      <xdr:col>0</xdr:col>
      <xdr:colOff>323850</xdr:colOff>
      <xdr:row>84</xdr:row>
      <xdr:rowOff>171450</xdr:rowOff>
    </xdr:from>
    <xdr:to>
      <xdr:col>1</xdr:col>
      <xdr:colOff>5172075</xdr:colOff>
      <xdr:row>105</xdr:row>
      <xdr:rowOff>34925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6744950"/>
          <a:ext cx="5716905" cy="3863975"/>
          <a:chOff x="323850" y="16837043"/>
          <a:chExt cx="5737224" cy="3702054"/>
        </a:xfrm>
      </xdr:grpSpPr>
      <xdr:sp macro="" textlink="">
        <xdr:nvSpPr>
          <xdr:cNvPr id="140" name="Rectangle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1" name="Step" descr="More information on the web&#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2" name="Straight Connector 141" descr="Decorative line">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Next Button" descr="Back to top, hyperlinked to cell A1">
            <a:hlinkClick xmlns:r="http://schemas.openxmlformats.org/officeDocument/2006/relationships" r:id="rId2" tooltip="Select to go back to cell A1 in this worksheet"/>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4" name="Straight Connector 143" descr="Decorative line">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Next Button" descr="Next step button, hyperlinked to next worksheet">
            <a:hlinkClick xmlns:r="http://schemas.openxmlformats.org/officeDocument/2006/relationships" r:id="rId3" tooltip="Select to go to the next step"/>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6" name="Step" descr="All about the SUM function, Hyperlinked to web&#10;&#10;">
            <a:hlinkClick xmlns:r="http://schemas.openxmlformats.org/officeDocument/2006/relationships" r:id="rId4" tooltip="Select to learn all about the SUM function from the web"/>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 function</a:t>
            </a:r>
          </a:p>
        </xdr:txBody>
      </xdr:sp>
      <xdr:pic>
        <xdr:nvPicPr>
          <xdr:cNvPr id="147" name="Graphic 22" descr="Arrow">
            <a:hlinkClick xmlns:r="http://schemas.openxmlformats.org/officeDocument/2006/relationships" r:id="rId4" tooltip="Select to learn more from the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Step" descr="All about the SUMIF function, hyperlinked to web&#10;">
            <a:hlinkClick xmlns:r="http://schemas.openxmlformats.org/officeDocument/2006/relationships" r:id="rId7" tooltip="Select to learn all about the SUMIF function from the web"/>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SUMIF function</a:t>
            </a:r>
          </a:p>
        </xdr:txBody>
      </xdr:sp>
      <xdr:pic>
        <xdr:nvPicPr>
          <xdr:cNvPr id="149" name="Graphic 22" descr="Arrow">
            <a:hlinkClick xmlns:r="http://schemas.openxmlformats.org/officeDocument/2006/relationships" r:id="rId7" tooltip="Select to learn more from the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Step" descr="Use Excel as your calculator, hyperlinked to web&#10;">
            <a:hlinkClick xmlns:r="http://schemas.openxmlformats.org/officeDocument/2006/relationships" r:id="rId8" tooltip="Select to learn about using Excel as a calculator from the web"/>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your calculator</a:t>
            </a:r>
          </a:p>
        </xdr:txBody>
      </xdr:sp>
      <xdr:pic>
        <xdr:nvPicPr>
          <xdr:cNvPr id="151"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Step" descr="Free Excel training online, hyperlinked to web&#10;">
            <a:hlinkClick xmlns:r="http://schemas.openxmlformats.org/officeDocument/2006/relationships" r:id="rId9" tooltip="Select to learn Free Excel training online from the web"/>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54"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185865</xdr:rowOff>
    </xdr:from>
    <xdr:to>
      <xdr:col>7</xdr:col>
      <xdr:colOff>457200</xdr:colOff>
      <xdr:row>87</xdr:row>
      <xdr:rowOff>130175</xdr:rowOff>
    </xdr:to>
    <xdr:grpSp>
      <xdr:nvGrpSpPr>
        <xdr:cNvPr id="9"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657975" y="15425865"/>
          <a:ext cx="3400425" cy="1849310"/>
          <a:chOff x="6778625" y="15514765"/>
          <a:chExt cx="3432175" cy="1776285"/>
        </a:xfrm>
      </xdr:grpSpPr>
      <xdr:sp macro="" textlink="">
        <xdr:nvSpPr>
          <xdr:cNvPr id="134"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136" name="Graphic 147" descr="Glasse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Freeform: Shape 136" descr="Arrrow">
            <a:extLst>
              <a:ext uri="{FF2B5EF4-FFF2-40B4-BE49-F238E27FC236}">
                <a16:creationId xmlns:a16="http://schemas.microsoft.com/office/drawing/2014/main" id="{00000000-0008-0000-0100-000089000000}"/>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0</xdr:col>
      <xdr:colOff>347872</xdr:colOff>
      <xdr:row>64</xdr:row>
      <xdr:rowOff>181413</xdr:rowOff>
    </xdr:from>
    <xdr:to>
      <xdr:col>1</xdr:col>
      <xdr:colOff>5196097</xdr:colOff>
      <xdr:row>84</xdr:row>
      <xdr:rowOff>44450</xdr:rowOff>
    </xdr:to>
    <xdr:grpSp>
      <xdr:nvGrpSpPr>
        <xdr:cNvPr id="10"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2944913"/>
          <a:ext cx="5716905" cy="3673037"/>
          <a:chOff x="347872" y="13364013"/>
          <a:chExt cx="5695950" cy="3673037"/>
        </a:xfrm>
      </xdr:grpSpPr>
      <xdr:sp macro="" textlink="">
        <xdr:nvSpPr>
          <xdr:cNvPr id="106" name="Rectangle 105" descr="Background">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7" name="Straight Connector 106" descr="Decorative line">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Straight Connector 107" descr="Decorative line">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Step" descr="More about the SUMIF function">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SUMIF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0" name="Step" descr="We also showed you the SUMIF function at the top of this sheet. The SUMIF function sums up totals based on a criterion. If the SUMIF function could talk, it would say this:&#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also showed you the SUMIF function at the top of this sheet. The SUMIF function sums up totals based on a criterion.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the SUMIF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1" name="Step" descr="NOTE: If you find you are making a lot of SUMIF formulas, you might find that a PivotTable is a better solution. See the PivotTable worksheet for more information&#10;">
            <a:hlinkClick xmlns:r="http://schemas.openxmlformats.org/officeDocument/2006/relationships" r:id="rId12" tooltip="Select to go to the PivotTable worksheet"/>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you find</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are making a lot of SUMIF formulas, you might find that a PivotTable is a better solution. </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See the PivotTable worksheet for more information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13" name="TextBox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=SUMIF(D73:D77,"&gt;50")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114" name="Left Brace 113">
            <a:extLst>
              <a:ext uri="{FF2B5EF4-FFF2-40B4-BE49-F238E27FC236}">
                <a16:creationId xmlns:a16="http://schemas.microsoft.com/office/drawing/2014/main" id="{00000000-0008-0000-0100-000072000000}"/>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5" name="Text Box 2" descr="Sum up some values based on this criterion:&#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some values based on this criterion:</a:t>
            </a:r>
          </a:p>
        </xdr:txBody>
      </xdr:sp>
      <xdr:sp macro="" textlink="">
        <xdr:nvSpPr>
          <xdr:cNvPr id="116" name="Left Brace 115">
            <a:extLst>
              <a:ext uri="{FF2B5EF4-FFF2-40B4-BE49-F238E27FC236}">
                <a16:creationId xmlns:a16="http://schemas.microsoft.com/office/drawing/2014/main" id="{00000000-0008-0000-0100-000074000000}"/>
              </a:ext>
            </a:extLst>
          </xdr:cNvPr>
          <xdr:cNvSpPr/>
        </xdr:nvSpPr>
        <xdr:spPr>
          <a:xfrm rot="5400000">
            <a:off x="2044105" y="15077305"/>
            <a:ext cx="197374" cy="107212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7" name="Text Box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....Look through these cells...</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2" name="Text Box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if the value is greater than 50, sum it up.</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133" name="Left Brace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oneCell">
    <xdr:from>
      <xdr:col>2</xdr:col>
      <xdr:colOff>114300</xdr:colOff>
      <xdr:row>53</xdr:row>
      <xdr:rowOff>53969</xdr:rowOff>
    </xdr:from>
    <xdr:to>
      <xdr:col>8</xdr:col>
      <xdr:colOff>133350</xdr:colOff>
      <xdr:row>62</xdr:row>
      <xdr:rowOff>107945</xdr:rowOff>
    </xdr:to>
    <xdr:grpSp>
      <xdr:nvGrpSpPr>
        <xdr:cNvPr id="8"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667500" y="10721969"/>
          <a:ext cx="3676650" cy="1768476"/>
          <a:chOff x="6788150" y="10960177"/>
          <a:chExt cx="3714750" cy="1708073"/>
        </a:xfrm>
      </xdr:grpSpPr>
      <xdr:sp macro="" textlink="">
        <xdr:nvSpPr>
          <xdr:cNvPr id="99"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D16. That way it's easily seen and not hidden inside a formula. </a:t>
            </a:r>
            <a:endParaRPr lang="en-US" sz="1100">
              <a:effectLst/>
            </a:endParaRPr>
          </a:p>
        </xdr:txBody>
      </xdr:sp>
      <xdr:pic>
        <xdr:nvPicPr>
          <xdr:cNvPr id="102" name="Magnify glass" descr="Magnifying glass">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Arrow" descr="Arrow">
            <a:extLst>
              <a:ext uri="{FF2B5EF4-FFF2-40B4-BE49-F238E27FC236}">
                <a16:creationId xmlns:a16="http://schemas.microsoft.com/office/drawing/2014/main" id="{00000000-0008-0000-0100-000062000000}"/>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3</xdr:col>
      <xdr:colOff>569395</xdr:colOff>
      <xdr:row>36</xdr:row>
      <xdr:rowOff>82549</xdr:rowOff>
    </xdr:from>
    <xdr:to>
      <xdr:col>8</xdr:col>
      <xdr:colOff>161927</xdr:colOff>
      <xdr:row>43</xdr:row>
      <xdr:rowOff>158750</xdr:rowOff>
    </xdr:to>
    <xdr:grpSp>
      <xdr:nvGrpSpPr>
        <xdr:cNvPr id="12"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7732195" y="7512049"/>
          <a:ext cx="2640532" cy="1409701"/>
          <a:chOff x="7539454" y="7993902"/>
          <a:chExt cx="2562091" cy="1409701"/>
        </a:xfrm>
      </xdr:grpSpPr>
      <xdr:grpSp>
        <xdr:nvGrpSpPr>
          <xdr:cNvPr id="119" name="Bracket line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Another bracket line" descr="Bracket line">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1" name="Bracket line" descr="Bracket line&#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97" name="Stars" descr="Star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Instructions"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CHECK THIS OUT</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cells. Then in the lower-right corner of the</a:t>
            </a:r>
            <a:r>
              <a:rPr lang="en-US" sz="1100" kern="0" baseline="0">
                <a:solidFill>
                  <a:schemeClr val="bg2">
                    <a:lumMod val="25000"/>
                  </a:schemeClr>
                </a:solidFill>
                <a:latin typeface="+mn-lt"/>
                <a:ea typeface="Segoe UI" pitchFamily="34" charset="0"/>
                <a:cs typeface="Segoe UI Light" panose="020B0502040204020203" pitchFamily="34" charset="0"/>
              </a:rPr>
              <a:t> Excel window, look for this:</a:t>
            </a: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That's just another way to quickly find a total.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5194509</xdr:colOff>
      <xdr:row>63</xdr:row>
      <xdr:rowOff>158750</xdr:rowOff>
    </xdr:to>
    <xdr:grpSp>
      <xdr:nvGrpSpPr>
        <xdr:cNvPr id="3" name="More about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5888"/>
          <a:ext cx="5716905" cy="7225862"/>
          <a:chOff x="346284" y="5905938"/>
          <a:chExt cx="5737225" cy="6997262"/>
        </a:xfrm>
      </xdr:grpSpPr>
      <xdr:sp macro="" textlink="">
        <xdr:nvSpPr>
          <xdr:cNvPr id="53" name="Rectangle 52" descr="Background">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54" name="Straight Connector 53" descr="Decorative line">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Decorative line">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Step" descr="More about the SUM function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about the SUM function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50" name="Step"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342213"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some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of the above tips, we taught you how to use the SUM function. Here are more details about it. Double-click a yellow cell on the right, and then read along with the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below.</a:t>
            </a: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 the SUM function could talk, it would say this:</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0" name="Step" descr="Here's another way it can be used:&#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it can be used:</a:t>
            </a:r>
          </a:p>
        </xdr:txBody>
      </xdr:sp>
      <xdr:grpSp>
        <xdr:nvGrpSpPr>
          <xdr:cNvPr id="79" name="Group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TextBox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=SUM(D38:D41) </a:t>
              </a:r>
              <a:endParaRPr lang="en-US" sz="2000">
                <a:effectLst/>
                <a:latin typeface="Times New Roman" panose="02020603050405020304" pitchFamily="18" charset="0"/>
                <a:ea typeface="Times New Roman" panose="02020603050405020304" pitchFamily="18" charset="0"/>
              </a:endParaRPr>
            </a:p>
          </xdr:txBody>
        </xdr:sp>
        <xdr:sp macro="" textlink="">
          <xdr:nvSpPr>
            <xdr:cNvPr id="75" name="Left Brace 74">
              <a:extLst>
                <a:ext uri="{FF2B5EF4-FFF2-40B4-BE49-F238E27FC236}">
                  <a16:creationId xmlns:a16="http://schemas.microsoft.com/office/drawing/2014/main" id="{00000000-0008-0000-0100-00004B000000}"/>
                </a:ext>
              </a:extLst>
            </xdr:cNvPr>
            <xdr:cNvSpPr/>
          </xdr:nvSpPr>
          <xdr:spPr>
            <a:xfrm rot="5400000">
              <a:off x="1351331" y="8899414"/>
              <a:ext cx="196065" cy="4662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6" name="Text Box 2" descr="Sum up the following:&#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up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sp macro="" textlink="">
          <xdr:nvSpPr>
            <xdr:cNvPr id="77" name="Left Brace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8" name="Text Box 2" descr="…the values in cells D38, D39, D40, and D41">
              <a:extLst>
                <a:ext uri="{FF2B5EF4-FFF2-40B4-BE49-F238E27FC236}">
                  <a16:creationId xmlns:a16="http://schemas.microsoft.com/office/drawing/2014/main" id="{00000000-0008-0000-0100-00004E000000}"/>
                </a:ext>
              </a:extLst>
            </xdr:cNvPr>
            <xdr:cNvSpPr txBox="1">
              <a:spLocks noChangeArrowheads="1"/>
            </xdr:cNvSpPr>
          </xdr:nvSpPr>
          <xdr:spPr bwMode="auto">
            <a:xfrm>
              <a:off x="1993378"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a:t>
              </a:r>
              <a:r>
                <a:rPr lang="en-US" sz="1100">
                  <a:effectLst/>
                  <a:latin typeface="Calibri" panose="020F0502020204030204" pitchFamily="34" charset="0"/>
                  <a:ea typeface="Calibri" panose="020F0502020204030204" pitchFamily="34" charset="0"/>
                  <a:cs typeface="Times New Roman" panose="02020603050405020304" pitchFamily="18" charset="0"/>
                </a:rPr>
                <a:t>in cells D38, D39, D40, and D41</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105" name="Group 104">
            <a:extLst>
              <a:ext uri="{FF2B5EF4-FFF2-40B4-BE49-F238E27FC236}">
                <a16:creationId xmlns:a16="http://schemas.microsoft.com/office/drawing/2014/main" id="{00000000-0008-0000-0100-000069000000}"/>
              </a:ext>
            </a:extLst>
          </xdr:cNvPr>
          <xdr:cNvGrpSpPr/>
        </xdr:nvGrpSpPr>
        <xdr:grpSpPr>
          <a:xfrm>
            <a:off x="457200" y="9658350"/>
            <a:ext cx="4927601" cy="1327631"/>
            <a:chOff x="457200" y="9810750"/>
            <a:chExt cx="4886326" cy="1372081"/>
          </a:xfrm>
        </xdr:grpSpPr>
        <xdr:sp macro="" textlink="">
          <xdr:nvSpPr>
            <xdr:cNvPr id="81" name="TextBox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=SUM(D48,G48:G51,100) </a:t>
              </a:r>
              <a:endParaRPr lang="en-US" sz="2000">
                <a:effectLst/>
                <a:latin typeface="Times New Roman" panose="02020603050405020304" pitchFamily="18" charset="0"/>
                <a:ea typeface="Times New Roman" panose="02020603050405020304" pitchFamily="18" charset="0"/>
              </a:endParaRPr>
            </a:p>
          </xdr:txBody>
        </xdr:sp>
        <xdr:grpSp>
          <xdr:nvGrpSpPr>
            <xdr:cNvPr id="82" name="Group 81">
              <a:extLst>
                <a:ext uri="{FF2B5EF4-FFF2-40B4-BE49-F238E27FC236}">
                  <a16:creationId xmlns:a16="http://schemas.microsoft.com/office/drawing/2014/main" id="{00000000-0008-0000-0100-000052000000}"/>
                </a:ext>
              </a:extLst>
            </xdr:cNvPr>
            <xdr:cNvGrpSpPr/>
          </xdr:nvGrpSpPr>
          <xdr:grpSpPr>
            <a:xfrm>
              <a:off x="485775" y="9828044"/>
              <a:ext cx="818417" cy="982135"/>
              <a:chOff x="-363898" y="-105548"/>
              <a:chExt cx="1043235" cy="1088405"/>
            </a:xfrm>
          </xdr:grpSpPr>
          <xdr:sp macro="" textlink="">
            <xdr:nvSpPr>
              <xdr:cNvPr id="83" name="Left Brace 82">
                <a:extLst>
                  <a:ext uri="{FF2B5EF4-FFF2-40B4-BE49-F238E27FC236}">
                    <a16:creationId xmlns:a16="http://schemas.microsoft.com/office/drawing/2014/main" id="{00000000-0008-0000-0100-000053000000}"/>
                  </a:ext>
                </a:extLst>
              </xdr:cNvPr>
              <xdr:cNvSpPr/>
            </xdr:nvSpPr>
            <xdr:spPr>
              <a:xfrm rot="5400000">
                <a:off x="10117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4" name="Text Box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363898" y="-105548"/>
                <a:ext cx="1043235" cy="83779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Sum the following:</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5" name="Group 84">
              <a:extLst>
                <a:ext uri="{FF2B5EF4-FFF2-40B4-BE49-F238E27FC236}">
                  <a16:creationId xmlns:a16="http://schemas.microsoft.com/office/drawing/2014/main" id="{00000000-0008-0000-0100-000055000000}"/>
                </a:ext>
              </a:extLst>
            </xdr:cNvPr>
            <xdr:cNvGrpSpPr/>
          </xdr:nvGrpSpPr>
          <xdr:grpSpPr>
            <a:xfrm>
              <a:off x="1309167" y="9819355"/>
              <a:ext cx="816276" cy="982138"/>
              <a:chOff x="-283101" y="-105548"/>
              <a:chExt cx="818441" cy="1088408"/>
            </a:xfrm>
          </xdr:grpSpPr>
          <xdr:sp macro="" textlink="">
            <xdr:nvSpPr>
              <xdr:cNvPr id="86" name="Left Brace 85">
                <a:extLst>
                  <a:ext uri="{FF2B5EF4-FFF2-40B4-BE49-F238E27FC236}">
                    <a16:creationId xmlns:a16="http://schemas.microsoft.com/office/drawing/2014/main" id="{00000000-0008-0000-0100-000056000000}"/>
                  </a:ext>
                </a:extLst>
              </xdr:cNvPr>
              <xdr:cNvSpPr/>
            </xdr:nvSpPr>
            <xdr:spPr>
              <a:xfrm rot="5400000">
                <a:off x="-167914"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7" name="Text Box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05548"/>
                <a:ext cx="73523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 in cell D48…</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nvGrpSpPr>
            <xdr:cNvPr id="88" name="Group 87">
              <a:extLst>
                <a:ext uri="{FF2B5EF4-FFF2-40B4-BE49-F238E27FC236}">
                  <a16:creationId xmlns:a16="http://schemas.microsoft.com/office/drawing/2014/main" id="{00000000-0008-0000-0100-000058000000}"/>
                </a:ext>
              </a:extLst>
            </xdr:cNvPr>
            <xdr:cNvGrpSpPr/>
          </xdr:nvGrpSpPr>
          <xdr:grpSpPr>
            <a:xfrm>
              <a:off x="1900287" y="9810750"/>
              <a:ext cx="1214388" cy="982134"/>
              <a:chOff x="-529733" y="-114987"/>
              <a:chExt cx="1215442" cy="1088404"/>
            </a:xfrm>
          </xdr:grpSpPr>
          <xdr:sp macro="" textlink="">
            <xdr:nvSpPr>
              <xdr:cNvPr id="89" name="Left Brace 88">
                <a:extLst>
                  <a:ext uri="{FF2B5EF4-FFF2-40B4-BE49-F238E27FC236}">
                    <a16:creationId xmlns:a16="http://schemas.microsoft.com/office/drawing/2014/main" id="{00000000-0008-0000-0100-000059000000}"/>
                  </a:ext>
                </a:extLst>
              </xdr:cNvPr>
              <xdr:cNvSpPr/>
            </xdr:nvSpPr>
            <xdr:spPr>
              <a:xfrm rot="5400000">
                <a:off x="-110187" y="310986"/>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0" name="Text Box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189331" y="-114987"/>
                <a:ext cx="875040"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…the values in cells G48, G49, G50, and  G51... </a:t>
                </a:r>
              </a:p>
            </xdr:txBody>
          </xdr:sp>
        </xdr:grpSp>
        <xdr:grpSp>
          <xdr:nvGrpSpPr>
            <xdr:cNvPr id="91" name="Group 90">
              <a:extLst>
                <a:ext uri="{FF2B5EF4-FFF2-40B4-BE49-F238E27FC236}">
                  <a16:creationId xmlns:a16="http://schemas.microsoft.com/office/drawing/2014/main" id="{00000000-0008-0000-0100-00005B000000}"/>
                </a:ext>
              </a:extLst>
            </xdr:cNvPr>
            <xdr:cNvGrpSpPr/>
          </xdr:nvGrpSpPr>
          <xdr:grpSpPr>
            <a:xfrm>
              <a:off x="3137714" y="9819357"/>
              <a:ext cx="577036" cy="969957"/>
              <a:chOff x="-34687" y="-105546"/>
              <a:chExt cx="577537" cy="1075028"/>
            </a:xfrm>
          </xdr:grpSpPr>
          <xdr:sp macro="" textlink="">
            <xdr:nvSpPr>
              <xdr:cNvPr id="92" name="Left Brace 91">
                <a:extLst>
                  <a:ext uri="{FF2B5EF4-FFF2-40B4-BE49-F238E27FC236}">
                    <a16:creationId xmlns:a16="http://schemas.microsoft.com/office/drawing/2014/main" id="{00000000-0008-0000-0100-00005C000000}"/>
                  </a:ext>
                </a:extLst>
              </xdr:cNvPr>
              <xdr:cNvSpPr/>
            </xdr:nvSpPr>
            <xdr:spPr>
              <a:xfrm rot="5400000">
                <a:off x="86691" y="637256"/>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3" name="Text Box 2" descr="…and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3" y="-105546"/>
                <a:ext cx="504737" cy="837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100.</a:t>
                </a:r>
              </a:p>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grpSp>
      <xdr:sp macro="" textlink="">
        <xdr:nvSpPr>
          <xdr:cNvPr id="138" name="Step"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9"/>
            <a:ext cx="5342213" cy="145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eaLnBrk="1" fontAlgn="auto" latinLnBrk="0" hangingPunct="1"/>
            <a:r>
              <a:rPr lang="en-US" sz="1100" b="0" i="0" kern="1200" baseline="0">
                <a:solidFill>
                  <a:schemeClr val="dk1"/>
                </a:solidFill>
                <a:effectLst/>
                <a:latin typeface="Segoe UI" panose="020B0502040204020203" pitchFamily="34" charset="0"/>
                <a:ea typeface="+mn-ea"/>
                <a:cs typeface="Segoe UI" panose="020B0502040204020203" pitchFamily="34" charset="0"/>
              </a:rPr>
              <a:t>The formula above uses the following:</a:t>
            </a:r>
          </a:p>
          <a:p>
            <a:pPr eaLnBrk="1" fontAlgn="auto" latinLnBrk="0" hangingPunct="1"/>
            <a:endParaRPr lang="en-US" sz="1100" b="0" i="0" kern="1200" baseline="0">
              <a:solidFill>
                <a:schemeClr val="dk1"/>
              </a:solidFill>
              <a:effectLst/>
              <a:latin typeface="Segoe UI" panose="020B0502040204020203" pitchFamily="34" charset="0"/>
              <a:ea typeface="+mn-ea"/>
              <a:cs typeface="Segoe UI" panose="020B0502040204020203" pitchFamily="34" charset="0"/>
            </a:endParaRP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single </a:t>
            </a:r>
            <a:r>
              <a:rPr lang="en-US" sz="1100" b="1" i="0" kern="1200" baseline="0">
                <a:solidFill>
                  <a:schemeClr val="dk1"/>
                </a:solidFill>
                <a:effectLst/>
                <a:latin typeface="Segoe UI" panose="020B0502040204020203" pitchFamily="34" charset="0"/>
                <a:ea typeface="+mn-ea"/>
                <a:cs typeface="Segoe UI" panose="020B0502040204020203" pitchFamily="34" charset="0"/>
              </a:rPr>
              <a:t>cell reference</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the "address" or "name" of a cell. D48 is the single cell reference in the formula above. </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range of cells</a:t>
            </a:r>
            <a:r>
              <a:rPr lang="en-US" sz="1100" b="0" i="0" kern="1200" baseline="0">
                <a:solidFill>
                  <a:schemeClr val="dk1"/>
                </a:solidFill>
                <a:effectLst/>
                <a:latin typeface="Segoe UI" panose="020B0502040204020203" pitchFamily="34" charset="0"/>
                <a:ea typeface="+mn-ea"/>
                <a:cs typeface="Segoe UI" panose="020B0502040204020203" pitchFamily="34" charset="0"/>
              </a:rPr>
              <a:t>, which is a series of cells starting at one cell and ending at another.  G48:G51 is the range of cells in the formula.</a:t>
            </a:r>
          </a:p>
          <a:p>
            <a:pPr eaLnBrk="1" fontAlgn="auto" latinLnBrk="0" hangingPunct="1">
              <a:spcAft>
                <a:spcPts val="600"/>
              </a:spcAft>
            </a:pPr>
            <a:r>
              <a:rPr lang="en-US" sz="1100" b="0" i="0" kern="1200" baseline="0">
                <a:solidFill>
                  <a:schemeClr val="dk1"/>
                </a:solidFill>
                <a:effectLst/>
                <a:latin typeface="Segoe UI" panose="020B0502040204020203" pitchFamily="34" charset="0"/>
                <a:ea typeface="+mn-ea"/>
                <a:cs typeface="Segoe UI" panose="020B0502040204020203" pitchFamily="34" charset="0"/>
              </a:rPr>
              <a:t>• A </a:t>
            </a:r>
            <a:r>
              <a:rPr lang="en-US" sz="1100" b="1" i="0" kern="1200" baseline="0">
                <a:solidFill>
                  <a:schemeClr val="dk1"/>
                </a:solidFill>
                <a:effectLst/>
                <a:latin typeface="Segoe UI" panose="020B0502040204020203" pitchFamily="34" charset="0"/>
                <a:ea typeface="+mn-ea"/>
                <a:cs typeface="Segoe UI" panose="020B0502040204020203" pitchFamily="34" charset="0"/>
              </a:rPr>
              <a:t>constant</a:t>
            </a:r>
            <a:r>
              <a:rPr lang="en-US" sz="1100" b="0" i="0" kern="1200" baseline="0">
                <a:solidFill>
                  <a:schemeClr val="dk1"/>
                </a:solidFill>
                <a:effectLst/>
                <a:latin typeface="Segoe UI" panose="020B0502040204020203" pitchFamily="34" charset="0"/>
                <a:ea typeface="+mn-ea"/>
                <a:cs typeface="Segoe UI" panose="020B0502040204020203" pitchFamily="34" charset="0"/>
              </a:rPr>
              <a:t>. The constant in this formula is the number 100. </a:t>
            </a:r>
            <a:endParaRPr lang="en-US" sz="1100">
              <a:effectLst/>
              <a:latin typeface="Segoe UI" panose="020B0502040204020203" pitchFamily="34" charset="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10</xdr:col>
      <xdr:colOff>114300</xdr:colOff>
      <xdr:row>22</xdr:row>
      <xdr:rowOff>114299</xdr:rowOff>
    </xdr:to>
    <xdr:grpSp>
      <xdr:nvGrpSpPr>
        <xdr:cNvPr id="4" name="Group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305925" y="3495675"/>
          <a:ext cx="2238375" cy="1381124"/>
          <a:chOff x="9048750" y="3743325"/>
          <a:chExt cx="2162175" cy="1381124"/>
        </a:xfrm>
      </xdr:grpSpPr>
      <xdr:sp macro="" textlink="">
        <xdr:nvSpPr>
          <xdr:cNvPr id="57" name="Step"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EXTRA CREDIT</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Try adding another SUMIF formula here, but add amounts that are </a:t>
            </a:r>
            <a:r>
              <a:rPr lang="en-US" sz="1100" b="0" i="1" kern="1200" baseline="0">
                <a:solidFill>
                  <a:schemeClr val="dk1"/>
                </a:solidFill>
                <a:effectLst/>
                <a:latin typeface="+mn-lt"/>
                <a:ea typeface="+mn-ea"/>
                <a:cs typeface="+mn-cs"/>
              </a:rPr>
              <a:t>less than 100</a:t>
            </a:r>
            <a:r>
              <a:rPr lang="en-US" sz="1100" b="0" i="0" kern="1200" baseline="0">
                <a:solidFill>
                  <a:schemeClr val="dk1"/>
                </a:solidFill>
                <a:effectLst/>
                <a:latin typeface="+mn-lt"/>
                <a:ea typeface="+mn-ea"/>
                <a:cs typeface="+mn-cs"/>
              </a:rPr>
              <a:t>. The result should be 160.</a:t>
            </a:r>
          </a:p>
        </xdr:txBody>
      </xdr:sp>
      <xdr:pic>
        <xdr:nvPicPr>
          <xdr:cNvPr id="58" name="Extra credit ribbon" descr="Decorative ribbon">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287099" y="3950551"/>
            <a:ext cx="474289" cy="439736"/>
          </a:xfrm>
          <a:prstGeom prst="rect">
            <a:avLst/>
          </a:prstGeom>
        </xdr:spPr>
      </xdr:pic>
      <xdr:sp macro="" textlink="">
        <xdr:nvSpPr>
          <xdr:cNvPr id="59" name="Extra Credit Arrow" descr="Arrow">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0</xdr:col>
      <xdr:colOff>326572</xdr:colOff>
      <xdr:row>0</xdr:row>
      <xdr:rowOff>266701</xdr:rowOff>
    </xdr:from>
    <xdr:to>
      <xdr:col>1</xdr:col>
      <xdr:colOff>5174797</xdr:colOff>
      <xdr:row>22</xdr:row>
      <xdr:rowOff>76201</xdr:rowOff>
    </xdr:to>
    <xdr:grpSp>
      <xdr:nvGrpSpPr>
        <xdr:cNvPr id="11" name="Add numbers like a champ"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6572" y="266701"/>
          <a:ext cx="5716905" cy="4572000"/>
          <a:chOff x="326572" y="266702"/>
          <a:chExt cx="5705475" cy="4657728"/>
        </a:xfrm>
      </xdr:grpSpPr>
      <xdr:grpSp>
        <xdr:nvGrpSpPr>
          <xdr:cNvPr id="16" name="Add numbers instruction">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Background" descr="Background">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39" name="Step" descr="Add numbers like a champ">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Add numbers like a champ</a:t>
              </a:r>
            </a:p>
          </xdr:txBody>
        </xdr:sp>
        <xdr:sp macro="" textlink="">
          <xdr:nvSpPr>
            <xdr:cNvPr id="41" name="More detail button" descr="Dive down for more detail">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42" name="Bottom line" descr="Decorative line">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Next Button" descr="Next step button, hyperlinked to next sheet">
              <a:hlinkClick xmlns:r="http://schemas.openxmlformats.org/officeDocument/2006/relationships" r:id="rId3" tooltip="Select to go to the next step"/>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cxnSp macro="">
          <xdr:nvCxnSpPr>
            <xdr:cNvPr id="40" name="Top line" descr="Decorative line">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Step5">
            <a:extLst>
              <a:ext uri="{FF2B5EF4-FFF2-40B4-BE49-F238E27FC236}">
                <a16:creationId xmlns:a16="http://schemas.microsoft.com/office/drawing/2014/main" id="{00000000-0008-0000-0100-000017000000}"/>
              </a:ext>
            </a:extLst>
          </xdr:cNvPr>
          <xdr:cNvGrpSpPr/>
        </xdr:nvGrpSpPr>
        <xdr:grpSpPr>
          <a:xfrm>
            <a:off x="558707" y="3254024"/>
            <a:ext cx="5225273" cy="608867"/>
            <a:chOff x="231749" y="2962883"/>
            <a:chExt cx="5216550" cy="603885"/>
          </a:xfrm>
        </xdr:grpSpPr>
        <xdr:sp macro="" textlink="">
          <xdr:nvSpPr>
            <xdr:cNvPr id="24" name="Step" descr="Now add only the numbers over 50. Select the last yellow cell. Type =SUMIF(D11:D15,&quot;&gt;50&quot;) and then press Enter. The result is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add only the numbers over</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the last yellow cell.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=SUMIF(D11:D15,"&gt;50")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result is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grpSp>
        <xdr:nvGrpSpPr>
          <xdr:cNvPr id="22" name="Step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nvGrpSpPr>
            <xdr:cNvPr id="27" name="Group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Step" descr="Press ALT = first. Then, press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Press 	           first. Then, press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30" name="Equals key" descr="Equals key">
                <a:extLst>
                  <a:ext uri="{FF2B5EF4-FFF2-40B4-BE49-F238E27FC236}">
                    <a16:creationId xmlns:a16="http://schemas.microsoft.com/office/drawing/2014/main" id="{00000000-0008-0000-0100-00001E000000}"/>
                  </a:ext>
                </a:extLst>
              </xdr:cNvPr>
              <xdr:cNvSpPr/>
            </xdr:nvSpPr>
            <xdr:spPr>
              <a:xfrm>
                <a:off x="1578685"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9" name="Alt key" descr="Alt key">
                <a:extLst>
                  <a:ext uri="{FF2B5EF4-FFF2-40B4-BE49-F238E27FC236}">
                    <a16:creationId xmlns:a16="http://schemas.microsoft.com/office/drawing/2014/main" id="{00000000-0008-0000-0100-00001D000000}"/>
                  </a:ext>
                </a:extLst>
              </xdr:cNvPr>
              <xdr:cNvSpPr/>
            </xdr:nvSpPr>
            <xdr:spPr>
              <a:xfrm>
                <a:off x="1086869"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grpSp>
        <xdr:nvGrpSpPr>
          <xdr:cNvPr id="21" name="Step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Step" descr="Here's another way to add, using a shortcut key. Select the yellow cell under the amounts for meat">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Here's another way to add, using a shortcut key. Select the yellow cell under the amounts for meat.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20" name="Step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Step" descr="Type =SUM(D4:D7), and then press enter. When you're done, you'll see the result of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=SUM(D4:D7)</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and then press enter. When you're done, you'll see the result of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9" name="Step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Step" descr="Select the yellow cell under the amounts for fruit">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Select the yellow cell under the amounts for fruit.</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sp macro="" textlink="">
        <xdr:nvSpPr>
          <xdr:cNvPr id="18" name="Add numbers introduction" descr="Here are some ways to add up numbers in Excel:">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 are some ways to add up numbers in Excel:</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5146899</xdr:colOff>
      <xdr:row>22</xdr:row>
      <xdr:rowOff>108213</xdr:rowOff>
    </xdr:to>
    <xdr:grpSp>
      <xdr:nvGrpSpPr>
        <xdr:cNvPr id="113" name="Save time by filling cells automatically"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8674" y="253094"/>
          <a:ext cx="5716905" cy="4617619"/>
          <a:chOff x="11496675" y="857250"/>
          <a:chExt cx="5695950" cy="4619625"/>
        </a:xfrm>
      </xdr:grpSpPr>
      <xdr:sp macro="" textlink="">
        <xdr:nvSpPr>
          <xdr:cNvPr id="97" name="Rectangle 96" descr="Background">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8" name="Step" descr="Save time by filling cells automatically">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Save time by filling cells automatically</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9" name="Straight Connector 98" descr="Decorative line">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Dive down for more detail">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1" name="Straight Connector 100" descr="Decorative line">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3" name="Step" descr="Here’s how to use the fill handle in Excel:">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use the fill handle in Excel:</a:t>
            </a:r>
          </a:p>
        </xdr:txBody>
      </xdr:sp>
      <xdr:sp macro="" textlink="">
        <xdr:nvSpPr>
          <xdr:cNvPr id="104" name="Step" descr="Click the cell with the number 100">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cell with the number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it becomes a cross:</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Click the cross and drag down three cells. Excel will automatically fill the cells with the totals: 110, 120, and 130. People call this “filling down”&#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cross and drag down three cells. Excel will automatically fill the cells with the totals: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110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120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130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People call this “filling down.”</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Select the yellow cell with 200, and fill again but this time drag the fill handle to the right to fill the cells. This is known as “filling right”">
            <a:extLst>
              <a:ext uri="{FF2B5EF4-FFF2-40B4-BE49-F238E27FC236}">
                <a16:creationId xmlns:a16="http://schemas.microsoft.com/office/drawing/2014/main" id="{00000000-0008-0000-0200-00006E000000}"/>
              </a:ext>
            </a:extLst>
          </xdr:cNvPr>
          <xdr:cNvSpPr txBox="1"/>
        </xdr:nvSpPr>
        <xdr:spPr>
          <a:xfrm>
            <a:off x="12135458" y="353925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 with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200</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fill again but this time drag the fill handle to the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fill the cells. This is known as “filling right.”</a:t>
            </a:r>
            <a:endPar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4967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6</xdr:col>
      <xdr:colOff>569995</xdr:colOff>
      <xdr:row>2</xdr:row>
      <xdr:rowOff>219075</xdr:rowOff>
    </xdr:from>
    <xdr:to>
      <xdr:col>10</xdr:col>
      <xdr:colOff>257175</xdr:colOff>
      <xdr:row>12</xdr:row>
      <xdr:rowOff>55145</xdr:rowOff>
    </xdr:to>
    <xdr:grpSp>
      <xdr:nvGrpSpPr>
        <xdr:cNvPr id="9" name="Group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9561595" y="1141095"/>
          <a:ext cx="2125580" cy="1771550"/>
          <a:chOff x="9304420" y="1209675"/>
          <a:chExt cx="2049380" cy="1769645"/>
        </a:xfrm>
      </xdr:grpSpPr>
      <xdr:grpSp>
        <xdr:nvGrpSpPr>
          <xdr:cNvPr id="117" name="Group 116" descr="Bracket line">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Freeform: Shape 117" descr="Bracket line">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9" name="Freeform: Shape 118" descr="Bracket line">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sp macro="" textlink="">
        <xdr:nvSpPr>
          <xdr:cNvPr id="121" name="Step"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Click and drag to select these four cells, and then press CTRL+D. That's the shortcut key for filling down. Can you guess what the shortcut for filling </a:t>
            </a:r>
            <a:r>
              <a:rPr lang="en-US" sz="1100" b="0" i="1" kern="1200" baseline="0">
                <a:solidFill>
                  <a:schemeClr val="dk1"/>
                </a:solidFill>
                <a:effectLst/>
                <a:latin typeface="+mn-lt"/>
                <a:ea typeface="+mn-ea"/>
                <a:cs typeface="+mn-cs"/>
              </a:rPr>
              <a:t>right </a:t>
            </a:r>
            <a:r>
              <a:rPr lang="en-US" sz="1100" b="0" i="0" kern="1200" baseline="0">
                <a:solidFill>
                  <a:schemeClr val="dk1"/>
                </a:solidFill>
                <a:effectLst/>
                <a:latin typeface="+mn-lt"/>
                <a:ea typeface="+mn-ea"/>
                <a:cs typeface="+mn-cs"/>
              </a:rPr>
              <a:t>is? </a:t>
            </a:r>
            <a:endParaRPr lang="en-US" sz="1100">
              <a:effectLst/>
            </a:endParaRPr>
          </a:p>
        </xdr:txBody>
      </xdr:sp>
      <xdr:pic>
        <xdr:nvPicPr>
          <xdr:cNvPr id="122" name="Graphic 263" descr="Ribbon">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563658" y="1264439"/>
            <a:ext cx="471540" cy="439238"/>
          </a:xfrm>
          <a:prstGeom prst="rect">
            <a:avLst/>
          </a:prstGeom>
        </xdr:spPr>
      </xdr:pic>
    </xdr:grpSp>
    <xdr:clientData/>
  </xdr:twoCellAnchor>
  <xdr:twoCellAnchor editAs="oneCell">
    <xdr:from>
      <xdr:col>0</xdr:col>
      <xdr:colOff>394917</xdr:colOff>
      <xdr:row>25</xdr:row>
      <xdr:rowOff>149663</xdr:rowOff>
    </xdr:from>
    <xdr:to>
      <xdr:col>1</xdr:col>
      <xdr:colOff>5243142</xdr:colOff>
      <xdr:row>40</xdr:row>
      <xdr:rowOff>2706</xdr:rowOff>
    </xdr:to>
    <xdr:grpSp>
      <xdr:nvGrpSpPr>
        <xdr:cNvPr id="114" name="Use the fill handle to copy cells"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4917" y="5483663"/>
          <a:ext cx="5716905" cy="2710543"/>
          <a:chOff x="0" y="-9524"/>
          <a:chExt cx="5695950" cy="2705100"/>
        </a:xfrm>
      </xdr:grpSpPr>
      <xdr:sp macro="" textlink="">
        <xdr:nvSpPr>
          <xdr:cNvPr id="115" name="Rectangle 114" descr="Background">
            <a:extLst>
              <a:ext uri="{FF2B5EF4-FFF2-40B4-BE49-F238E27FC236}">
                <a16:creationId xmlns:a16="http://schemas.microsoft.com/office/drawing/2014/main" id="{00000000-0008-0000-0200-000073000000}"/>
              </a:ext>
            </a:extLst>
          </xdr:cNvPr>
          <xdr:cNvSpPr/>
        </xdr:nvSpPr>
        <xdr:spPr>
          <a:xfrm>
            <a:off x="0" y="-9524"/>
            <a:ext cx="5695950" cy="2705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6" name="Step" descr="Use the fill handle to copy cell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Use the fill handle to copy cells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200-00007B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Sometimes you don't need the numbers to change as you fill. Instead, you just want to copy values to other adjacent cells. Here's how to do that:">
            <a:extLst>
              <a:ext uri="{FF2B5EF4-FFF2-40B4-BE49-F238E27FC236}">
                <a16:creationId xmlns:a16="http://schemas.microsoft.com/office/drawing/2014/main" id="{00000000-0008-0000-0200-00007D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Sometimes you don't need the numbers to change as you fill. Instead, you just want to copy values to other adjacent cells. Here's how to do that:</a:t>
            </a:r>
          </a:p>
        </xdr:txBody>
      </xdr:sp>
      <xdr:sp macro="" textlink="">
        <xdr:nvSpPr>
          <xdr:cNvPr id="126" name="Step" descr="Click the cell with the word Produce. Rest your cursor on the lower-right corner of the cell until it becomes a cross, then drag down three cells">
            <a:extLst>
              <a:ext uri="{FF2B5EF4-FFF2-40B4-BE49-F238E27FC236}">
                <a16:creationId xmlns:a16="http://schemas.microsoft.com/office/drawing/2014/main" id="{00000000-0008-0000-0200-00007E000000}"/>
              </a:ext>
            </a:extLst>
          </xdr:cNvPr>
          <xdr:cNvSpPr txBox="1"/>
        </xdr:nvSpPr>
        <xdr:spPr>
          <a:xfrm>
            <a:off x="638783" y="120746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lower-right corner of the cell until it becomes a cross, then drag down three cells.</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8" name="Step"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722774"/>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Fruit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Rest your cursor on the lower- right corner again, and when you get the cross, double-click. That's another way to fill down in case you ever need to fill a long column.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16802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2</xdr:col>
      <xdr:colOff>333375</xdr:colOff>
      <xdr:row>46</xdr:row>
      <xdr:rowOff>44429</xdr:rowOff>
    </xdr:from>
    <xdr:to>
      <xdr:col>8</xdr:col>
      <xdr:colOff>272649</xdr:colOff>
      <xdr:row>58</xdr:row>
      <xdr:rowOff>66675</xdr:rowOff>
    </xdr:to>
    <xdr:grpSp>
      <xdr:nvGrpSpPr>
        <xdr:cNvPr id="4" name="Group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6886575" y="9378929"/>
          <a:ext cx="3596874" cy="2308246"/>
          <a:chOff x="6705600" y="9845654"/>
          <a:chExt cx="3482574" cy="2308246"/>
        </a:xfrm>
      </xdr:grpSpPr>
      <xdr:sp macro="" textlink="">
        <xdr:nvSpPr>
          <xdr:cNvPr id="80" name="Freeform: Shape 79" descr="Arrow">
            <a:extLst>
              <a:ext uri="{FF2B5EF4-FFF2-40B4-BE49-F238E27FC236}">
                <a16:creationId xmlns:a16="http://schemas.microsoft.com/office/drawing/2014/main" id="{00000000-0008-0000-0200-000050000000}"/>
              </a:ext>
            </a:extLst>
          </xdr:cNvPr>
          <xdr:cNvSpPr/>
        </xdr:nvSpPr>
        <xdr:spPr>
          <a:xfrm>
            <a:off x="8496466" y="9845654"/>
            <a:ext cx="804429"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2" name="Step"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2838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Select this cell, and then drag the fill </a:t>
            </a:r>
            <a:br>
              <a:rPr lang="en-US" sz="1100" b="0" i="0" kern="1200" baseline="0">
                <a:solidFill>
                  <a:schemeClr val="dk1"/>
                </a:solidFill>
                <a:effectLst/>
                <a:latin typeface="+mn-lt"/>
                <a:ea typeface="+mn-ea"/>
                <a:cs typeface="+mn-cs"/>
              </a:rPr>
            </a:br>
            <a:r>
              <a:rPr lang="en-US" sz="1100" b="0" i="0" kern="1200" baseline="0">
                <a:solidFill>
                  <a:schemeClr val="dk1"/>
                </a:solidFill>
                <a:effectLst/>
                <a:latin typeface="+mn-lt"/>
                <a:ea typeface="+mn-ea"/>
                <a:cs typeface="+mn-cs"/>
              </a:rPr>
              <a:t>handle down 3 cells. After that, click this button:</a:t>
            </a:r>
          </a:p>
          <a:p>
            <a:pPr eaLnBrk="1" fontAlgn="auto" latinLnBrk="0" hangingPunct="1"/>
            <a:r>
              <a:rPr lang="en-US" sz="1100" b="0" i="0" kern="1200" baseline="0">
                <a:solidFill>
                  <a:schemeClr val="dk1"/>
                </a:solidFill>
                <a:effectLst/>
                <a:latin typeface="+mn-lt"/>
                <a:ea typeface="+mn-ea"/>
                <a:cs typeface="+mn-cs"/>
              </a:rPr>
              <a:t>This is the </a:t>
            </a:r>
            <a:r>
              <a:rPr lang="en-US" sz="1100" b="1" i="0" kern="1200" baseline="0">
                <a:solidFill>
                  <a:schemeClr val="dk1"/>
                </a:solidFill>
                <a:effectLst/>
                <a:latin typeface="+mn-lt"/>
                <a:ea typeface="+mn-ea"/>
                <a:cs typeface="+mn-cs"/>
              </a:rPr>
              <a:t>AutoFill Options </a:t>
            </a:r>
            <a:r>
              <a:rPr lang="en-US" sz="1100" b="0" i="0" kern="1200" baseline="0">
                <a:solidFill>
                  <a:schemeClr val="dk1"/>
                </a:solidFill>
                <a:effectLst/>
                <a:latin typeface="+mn-lt"/>
                <a:ea typeface="+mn-ea"/>
                <a:cs typeface="+mn-cs"/>
              </a:rPr>
              <a:t>button, and it lets you change the fill immediately after. Choose another option like Copy cells or Fill formatting only. You never know when these might come in handy someday.</a:t>
            </a:r>
          </a:p>
          <a:p>
            <a:pPr eaLnBrk="1" fontAlgn="auto" latinLnBrk="0" hangingPunct="1"/>
            <a:endParaRPr lang="en-US" sz="1000" b="0" i="0" kern="1200" baseline="0">
              <a:solidFill>
                <a:schemeClr val="dk1"/>
              </a:solidFill>
              <a:effectLst/>
              <a:latin typeface="+mn-lt"/>
              <a:ea typeface="+mn-ea"/>
              <a:cs typeface="+mn-cs"/>
            </a:endParaRPr>
          </a:p>
        </xdr:txBody>
      </xdr:sp>
      <xdr:pic>
        <xdr:nvPicPr>
          <xdr:cNvPr id="143" name="Graphic 147" descr="Glasse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Picture 1" descr="AutoFill Options">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9998667" y="11017937"/>
            <a:ext cx="189507" cy="191986"/>
          </a:xfrm>
          <a:prstGeom prst="rect">
            <a:avLst/>
          </a:prstGeom>
        </xdr:spPr>
      </xdr:pic>
    </xdr:grpSp>
    <xdr:clientData/>
  </xdr:twoCellAnchor>
  <xdr:twoCellAnchor editAs="oneCell">
    <xdr:from>
      <xdr:col>0</xdr:col>
      <xdr:colOff>392055</xdr:colOff>
      <xdr:row>41</xdr:row>
      <xdr:rowOff>6292</xdr:rowOff>
    </xdr:from>
    <xdr:to>
      <xdr:col>1</xdr:col>
      <xdr:colOff>5240280</xdr:colOff>
      <xdr:row>62</xdr:row>
      <xdr:rowOff>57149</xdr:rowOff>
    </xdr:to>
    <xdr:grpSp>
      <xdr:nvGrpSpPr>
        <xdr:cNvPr id="163" name="Fill a series"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2055" y="8388292"/>
          <a:ext cx="5716905" cy="4051357"/>
          <a:chOff x="0" y="-9524"/>
          <a:chExt cx="5695950" cy="3946524"/>
        </a:xfrm>
      </xdr:grpSpPr>
      <xdr:sp macro="" textlink="">
        <xdr:nvSpPr>
          <xdr:cNvPr id="164" name="Rectangle 163" descr="Background">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5" name="Step" descr="Fill a series">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Fill a series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6" name="Straight Connector 165" descr="Decorative line">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Straight Connector 166" descr="Decorative line">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Step" descr="Excel can automatically fill some cells based on a series. For example, you can type Jan in one cell, and then fill the other cells with Feb, Mar, etc. ">
            <a:extLst>
              <a:ext uri="{FF2B5EF4-FFF2-40B4-BE49-F238E27FC236}">
                <a16:creationId xmlns:a16="http://schemas.microsoft.com/office/drawing/2014/main" id="{00000000-0008-0000-0200-0000A8000000}"/>
              </a:ext>
            </a:extLst>
          </xdr:cNvPr>
          <xdr:cNvSpPr txBox="1"/>
        </xdr:nvSpPr>
        <xdr:spPr>
          <a:xfrm>
            <a:off x="228600" y="6997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i="0" kern="1200">
                <a:solidFill>
                  <a:schemeClr val="dk1"/>
                </a:solidFill>
                <a:effectLst/>
                <a:latin typeface="+mj-lt"/>
                <a:ea typeface="+mn-ea"/>
                <a:cs typeface="+mn-cs"/>
              </a:rPr>
              <a:t>Excel can automatically fill some cells based on a series. For example, you can type Jan in one cell, and then fill the other cells with Feb, Mar, etc. </a:t>
            </a:r>
            <a:endParaRPr lang="en-US" sz="1100" i="0">
              <a:latin typeface="+mj-lt"/>
              <a:cs typeface="Segoe UI" panose="020B0502040204020203" pitchFamily="34" charset="0"/>
            </a:endParaRPr>
          </a:p>
        </xdr:txBody>
      </xdr:sp>
      <xdr:sp macro="" textlink="">
        <xdr:nvSpPr>
          <xdr:cNvPr id="169" name="Step" descr="Click the cell with the word Jan">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cell with the word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Jan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1" name="Step" descr="Rest your cursor on the lower-right corner of the cell until it becomes a cross, then drag right two cells. Excel detects a series, and fills in Feb and Mar for you">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of the cell until it becomes a cross, then drag right two cells. Excel detects a series, and fills in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Feb</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for you.</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3" name="Step" descr="Now select the cell with Week 1">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select the cell with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Week 1</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5" name="Step" descr="Rest your cursor on the lower-right corner again, and when you get the cross, double-click it">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Rest your cursor on the lower-right corner again, and when you get the cross, </a:t>
            </a:r>
            <a:r>
              <a:rPr lang="en-US" sz="1100" i="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double-click it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5240280</xdr:colOff>
      <xdr:row>77</xdr:row>
      <xdr:rowOff>128170</xdr:rowOff>
    </xdr:to>
    <xdr:grpSp>
      <xdr:nvGrpSpPr>
        <xdr:cNvPr id="187" name="More On Web"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2055" y="12561470"/>
          <a:ext cx="5716905" cy="2806700"/>
          <a:chOff x="0" y="1"/>
          <a:chExt cx="5695950" cy="2806700"/>
        </a:xfrm>
      </xdr:grpSpPr>
      <xdr:sp macro="" textlink="">
        <xdr:nvSpPr>
          <xdr:cNvPr id="188" name="Rectangle 187" descr="Background">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9" name="Step" descr="More information on the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0" name="Straight Connector 189" descr="Decorative line">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2" name="Straight Connector 191" descr="Decorative line">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4" name="Step" descr="Fill data automatically in worksheet cells, Hyperlinked to web">
            <a:hlinkClick xmlns:r="http://schemas.openxmlformats.org/officeDocument/2006/relationships" r:id="rId9" tooltip="Select to learn about filling data automatically in worksheet cells from the web"/>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data automatically in worksheet cells</a:t>
            </a:r>
          </a:p>
        </xdr:txBody>
      </xdr:sp>
      <xdr:pic>
        <xdr:nvPicPr>
          <xdr:cNvPr id="195"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Step" descr="Fill a formula down into adjacent cells, Hyperlinked to web">
            <a:hlinkClick xmlns:r="http://schemas.openxmlformats.org/officeDocument/2006/relationships" r:id="rId12" tooltip="Select to learn about filling a formula down into adjacent cells from the web"/>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Fill a formula down into adjacent cells</a:t>
            </a:r>
          </a:p>
          <a:p>
            <a:pPr lvl="0">
              <a:defRPr/>
            </a:pPr>
            <a:b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2265336" y="2077382"/>
    <xdr:ext cx="614224" cy="252734"/>
    <xdr:pic>
      <xdr:nvPicPr>
        <xdr:cNvPr id="81" name="Instruction" descr="Lower-right corner of the cell">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2260824" y="2072369"/>
          <a:ext cx="614224" cy="251731"/>
        </a:xfrm>
        <a:prstGeom prst="rect">
          <a:avLst/>
        </a:prstGeom>
      </xdr:spPr>
    </xdr:pic>
    <xdr:clientData/>
  </xdr:absoluteAnchor>
  <xdr:twoCellAnchor editAs="oneCell">
    <xdr:from>
      <xdr:col>2</xdr:col>
      <xdr:colOff>31750</xdr:colOff>
      <xdr:row>61</xdr:row>
      <xdr:rowOff>108756</xdr:rowOff>
    </xdr:from>
    <xdr:to>
      <xdr:col>8</xdr:col>
      <xdr:colOff>257174</xdr:colOff>
      <xdr:row>67</xdr:row>
      <xdr:rowOff>126947</xdr:rowOff>
    </xdr:to>
    <xdr:grpSp>
      <xdr:nvGrpSpPr>
        <xdr:cNvPr id="10" name="EXPERIMENT" descr="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0A000000}"/>
            </a:ext>
          </a:extLst>
        </xdr:cNvPr>
        <xdr:cNvGrpSpPr/>
      </xdr:nvGrpSpPr>
      <xdr:grpSpPr>
        <a:xfrm>
          <a:off x="6584950" y="12300756"/>
          <a:ext cx="3883024" cy="1161191"/>
          <a:chOff x="6375400" y="12710331"/>
          <a:chExt cx="3768724" cy="1161191"/>
        </a:xfrm>
      </xdr:grpSpPr>
      <xdr:sp macro="" textlink="">
        <xdr:nvSpPr>
          <xdr:cNvPr id="147" name="Step"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Select these two cells, and then drag the fill handle to the right. Excel fills the series in increments of 15. Try changing 15 and 30 to other values, like 1 and 1.8. Or, Mon and Wed. Or, January and March. And then fill to the right again... see what happens!</a:t>
            </a:r>
          </a:p>
        </xdr:txBody>
      </xdr:sp>
      <xdr:sp macro="" textlink="">
        <xdr:nvSpPr>
          <xdr:cNvPr id="149" name="Freeform: Shape 148" descr="Bracket line">
            <a:extLst>
              <a:ext uri="{FF2B5EF4-FFF2-40B4-BE49-F238E27FC236}">
                <a16:creationId xmlns:a16="http://schemas.microsoft.com/office/drawing/2014/main" id="{00000000-0008-0000-0200-000095000000}"/>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8" name="Freeform: Shape 197" descr="Bracket line">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 name="Arc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99" name="Arc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375400"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5</xdr:col>
      <xdr:colOff>104775</xdr:colOff>
      <xdr:row>16</xdr:row>
      <xdr:rowOff>85724</xdr:rowOff>
    </xdr:to>
    <xdr:grpSp>
      <xdr:nvGrpSpPr>
        <xdr:cNvPr id="7" name="GOOD TO KNOW" descr="GOOD TO KNOW: CTRL+E is the shortcut for Flash Fill">
          <a:extLst>
            <a:ext uri="{FF2B5EF4-FFF2-40B4-BE49-F238E27FC236}">
              <a16:creationId xmlns:a16="http://schemas.microsoft.com/office/drawing/2014/main" id="{00000000-0008-0000-0300-000007000000}"/>
            </a:ext>
          </a:extLst>
        </xdr:cNvPr>
        <xdr:cNvGrpSpPr/>
      </xdr:nvGrpSpPr>
      <xdr:grpSpPr>
        <a:xfrm>
          <a:off x="8601074" y="2478405"/>
          <a:ext cx="1767841" cy="1226819"/>
          <a:chOff x="8420099" y="2619375"/>
          <a:chExt cx="1657351" cy="1228724"/>
        </a:xfrm>
      </xdr:grpSpPr>
      <xdr:sp macro="" textlink="">
        <xdr:nvSpPr>
          <xdr:cNvPr id="102" name="Step"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CTRL+E is the shortcut for Flash Fill. </a:t>
            </a:r>
            <a:endParaRPr lang="en-US" sz="1100">
              <a:effectLst/>
              <a:latin typeface="+mn-lt"/>
            </a:endParaRPr>
          </a:p>
        </xdr:txBody>
      </xdr:sp>
      <xdr:pic>
        <xdr:nvPicPr>
          <xdr:cNvPr id="103" name="Graphic 147" descr="Glasses">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12</xdr:col>
      <xdr:colOff>545650</xdr:colOff>
      <xdr:row>72</xdr:row>
      <xdr:rowOff>90237</xdr:rowOff>
    </xdr:to>
    <xdr:grpSp>
      <xdr:nvGrpSpPr>
        <xdr:cNvPr id="8" name="HOW IT WORKS:"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297930" y="11239500"/>
          <a:ext cx="9762040" cy="3138237"/>
          <a:chOff x="6276975" y="11658600"/>
          <a:chExt cx="9127486" cy="3138237"/>
        </a:xfrm>
      </xdr:grpSpPr>
      <xdr:sp macro="" textlink="">
        <xdr:nvSpPr>
          <xdr:cNvPr id="104" name="Step" descr="HOW IT WORKS:">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sp macro="" textlink="">
        <xdr:nvSpPr>
          <xdr:cNvPr id="105" name="TextBox 100" descr="=LEFT(C56,FIND(&quot; &quot;,C56)-1)">
            <a:extLst>
              <a:ext uri="{FF2B5EF4-FFF2-40B4-BE49-F238E27FC236}">
                <a16:creationId xmlns:a16="http://schemas.microsoft.com/office/drawing/2014/main" id="{00000000-0008-0000-0300-000069000000}"/>
              </a:ext>
            </a:extLst>
          </xdr:cNvPr>
          <xdr:cNvSpPr txBox="1"/>
        </xdr:nvSpPr>
        <xdr:spPr>
          <a:xfrm>
            <a:off x="6324979" y="132213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a:solidFill>
                  <a:srgbClr val="000000"/>
                </a:solidFill>
                <a:effectLst/>
                <a:latin typeface="Courier New" panose="02070309020205020404" pitchFamily="49" charset="0"/>
                <a:ea typeface="Times New Roman" panose="02020603050405020304" pitchFamily="18" charset="0"/>
              </a:rPr>
              <a:t>=LEFT(C56,FIND(" ",C56)-1)</a:t>
            </a:r>
            <a:endParaRPr lang="en-US" sz="1600" b="1">
              <a:effectLst/>
              <a:latin typeface="Times New Roman" panose="02020603050405020304" pitchFamily="18" charset="0"/>
              <a:ea typeface="Times New Roman" panose="02020603050405020304" pitchFamily="18" charset="0"/>
            </a:endParaRPr>
          </a:p>
        </xdr:txBody>
      </xdr:sp>
      <xdr:sp macro="" textlink="">
        <xdr:nvSpPr>
          <xdr:cNvPr id="106" name="Left Brace 105" descr="Bracket line">
            <a:extLst>
              <a:ext uri="{FF2B5EF4-FFF2-40B4-BE49-F238E27FC236}">
                <a16:creationId xmlns:a16="http://schemas.microsoft.com/office/drawing/2014/main" id="{00000000-0008-0000-0300-00006A000000}"/>
              </a:ext>
            </a:extLst>
          </xdr:cNvPr>
          <xdr:cNvSpPr/>
        </xdr:nvSpPr>
        <xdr:spPr>
          <a:xfrm rot="5400000">
            <a:off x="6687591"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07" name="Text Box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9" y="12049236"/>
            <a:ext cx="732019"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left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31" name="Left Brace 130" descr="Bracket line">
            <a:extLst>
              <a:ext uri="{FF2B5EF4-FFF2-40B4-BE49-F238E27FC236}">
                <a16:creationId xmlns:a16="http://schemas.microsoft.com/office/drawing/2014/main" id="{00000000-0008-0000-0300-000083000000}"/>
              </a:ext>
            </a:extLst>
          </xdr:cNvPr>
          <xdr:cNvSpPr/>
        </xdr:nvSpPr>
        <xdr:spPr>
          <a:xfrm rot="5400000">
            <a:off x="7171462"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2" name="Text Box 2" descr="…this cell...">
            <a:extLst>
              <a:ext uri="{FF2B5EF4-FFF2-40B4-BE49-F238E27FC236}">
                <a16:creationId xmlns:a16="http://schemas.microsoft.com/office/drawing/2014/main" id="{00000000-0008-0000-0300-000084000000}"/>
              </a:ext>
            </a:extLst>
          </xdr:cNvPr>
          <xdr:cNvSpPr txBox="1">
            <a:spLocks noChangeArrowheads="1"/>
          </xdr:cNvSpPr>
        </xdr:nvSpPr>
        <xdr:spPr bwMode="auto">
          <a:xfrm>
            <a:off x="7130325" y="12048409"/>
            <a:ext cx="490127"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33" name="Text Box 2" descr="...and extract this many characters. To specify the number of characters, use the FIND function...">
            <a:extLst>
              <a:ext uri="{FF2B5EF4-FFF2-40B4-BE49-F238E27FC236}">
                <a16:creationId xmlns:a16="http://schemas.microsoft.com/office/drawing/2014/main" id="{00000000-0008-0000-0300-000085000000}"/>
              </a:ext>
            </a:extLst>
          </xdr:cNvPr>
          <xdr:cNvSpPr txBox="1">
            <a:spLocks noChangeArrowheads="1"/>
          </xdr:cNvSpPr>
        </xdr:nvSpPr>
        <xdr:spPr bwMode="auto">
          <a:xfrm>
            <a:off x="7653298" y="12048406"/>
            <a:ext cx="18430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FIND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4" name="Left Brace 133" descr="Bracket line">
            <a:extLst>
              <a:ext uri="{FF2B5EF4-FFF2-40B4-BE49-F238E27FC236}">
                <a16:creationId xmlns:a16="http://schemas.microsoft.com/office/drawing/2014/main" id="{00000000-0008-0000-0300-000086000000}"/>
              </a:ext>
            </a:extLst>
          </xdr:cNvPr>
          <xdr:cNvSpPr/>
        </xdr:nvSpPr>
        <xdr:spPr>
          <a:xfrm rot="5400000">
            <a:off x="8140876" y="12491986"/>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5" name="Text Box 2" descr="...and find the character position number of...">
            <a:extLst>
              <a:ext uri="{FF2B5EF4-FFF2-40B4-BE49-F238E27FC236}">
                <a16:creationId xmlns:a16="http://schemas.microsoft.com/office/drawing/2014/main" id="{00000000-0008-0000-0300-000087000000}"/>
              </a:ext>
            </a:extLst>
          </xdr:cNvPr>
          <xdr:cNvSpPr txBox="1">
            <a:spLocks noChangeArrowheads="1"/>
          </xdr:cNvSpPr>
        </xdr:nvSpPr>
        <xdr:spPr bwMode="auto">
          <a:xfrm>
            <a:off x="7009481"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6" name="Left Brace 135" descr="Bracket line">
            <a:extLst>
              <a:ext uri="{FF2B5EF4-FFF2-40B4-BE49-F238E27FC236}">
                <a16:creationId xmlns:a16="http://schemas.microsoft.com/office/drawing/2014/main" id="{00000000-0008-0000-0300-000088000000}"/>
              </a:ext>
            </a:extLst>
          </xdr:cNvPr>
          <xdr:cNvSpPr/>
        </xdr:nvSpPr>
        <xdr:spPr>
          <a:xfrm rot="16200000">
            <a:off x="7771307"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7" name="Text Box 2" descr="... the first space...">
            <a:extLst>
              <a:ext uri="{FF2B5EF4-FFF2-40B4-BE49-F238E27FC236}">
                <a16:creationId xmlns:a16="http://schemas.microsoft.com/office/drawing/2014/main" id="{00000000-0008-0000-0300-000089000000}"/>
              </a:ext>
            </a:extLst>
          </xdr:cNvPr>
          <xdr:cNvSpPr txBox="1">
            <a:spLocks noChangeArrowheads="1"/>
          </xdr:cNvSpPr>
        </xdr:nvSpPr>
        <xdr:spPr bwMode="auto">
          <a:xfrm>
            <a:off x="7953451"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the first space...</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38" name="Left Brace 137" descr="Bracket line">
            <a:extLst>
              <a:ext uri="{FF2B5EF4-FFF2-40B4-BE49-F238E27FC236}">
                <a16:creationId xmlns:a16="http://schemas.microsoft.com/office/drawing/2014/main" id="{00000000-0008-0000-0300-00008A000000}"/>
              </a:ext>
            </a:extLst>
          </xdr:cNvPr>
          <xdr:cNvSpPr/>
        </xdr:nvSpPr>
        <xdr:spPr>
          <a:xfrm rot="16200000">
            <a:off x="8331305"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Text Box 2" descr="...in this cell">
            <a:extLst>
              <a:ext uri="{FF2B5EF4-FFF2-40B4-BE49-F238E27FC236}">
                <a16:creationId xmlns:a16="http://schemas.microsoft.com/office/drawing/2014/main" id="{00000000-0008-0000-0300-00008B000000}"/>
              </a:ext>
            </a:extLst>
          </xdr:cNvPr>
          <xdr:cNvSpPr txBox="1">
            <a:spLocks noChangeArrowheads="1"/>
          </xdr:cNvSpPr>
        </xdr:nvSpPr>
        <xdr:spPr bwMode="auto">
          <a:xfrm>
            <a:off x="8586178"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t>
            </a:r>
            <a:r>
              <a:rPr lang="en-US" sz="1100" baseline="0">
                <a:effectLst/>
                <a:latin typeface="+mn-lt"/>
                <a:ea typeface="Calibri" panose="020F0502020204030204" pitchFamily="34" charset="0"/>
                <a:cs typeface="Times New Roman" panose="02020603050405020304" pitchFamily="18" charset="0"/>
              </a:rPr>
              <a:t>in this cell.</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0" name="Left Brace 139" descr="Bracket line">
            <a:extLst>
              <a:ext uri="{FF2B5EF4-FFF2-40B4-BE49-F238E27FC236}">
                <a16:creationId xmlns:a16="http://schemas.microsoft.com/office/drawing/2014/main" id="{00000000-0008-0000-0300-00008C000000}"/>
              </a:ext>
            </a:extLst>
          </xdr:cNvPr>
          <xdr:cNvSpPr/>
        </xdr:nvSpPr>
        <xdr:spPr>
          <a:xfrm rot="16200000">
            <a:off x="8777251"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1" name="Text Box 2" descr="...then subtract 1 to exclude the space itself">
            <a:extLst>
              <a:ext uri="{FF2B5EF4-FFF2-40B4-BE49-F238E27FC236}">
                <a16:creationId xmlns:a16="http://schemas.microsoft.com/office/drawing/2014/main" id="{00000000-0008-0000-0300-00008D000000}"/>
              </a:ext>
            </a:extLst>
          </xdr:cNvPr>
          <xdr:cNvSpPr txBox="1">
            <a:spLocks noChangeArrowheads="1"/>
          </xdr:cNvSpPr>
        </xdr:nvSpPr>
        <xdr:spPr bwMode="auto">
          <a:xfrm>
            <a:off x="9049136" y="13734332"/>
            <a:ext cx="777067" cy="10351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...then subtract 1 to exclude the space itself.</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2" name="Left Brace 141" descr="Bracket line">
            <a:extLst>
              <a:ext uri="{FF2B5EF4-FFF2-40B4-BE49-F238E27FC236}">
                <a16:creationId xmlns:a16="http://schemas.microsoft.com/office/drawing/2014/main" id="{00000000-0008-0000-0300-00008E000000}"/>
              </a:ext>
            </a:extLst>
          </xdr:cNvPr>
          <xdr:cNvSpPr/>
        </xdr:nvSpPr>
        <xdr:spPr>
          <a:xfrm rot="16200000" flipV="1">
            <a:off x="9198819"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3" name="Freeform: Shape 142" descr="Bracket line">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Left Brace 143" descr="Bracket line">
            <a:extLst>
              <a:ext uri="{FF2B5EF4-FFF2-40B4-BE49-F238E27FC236}">
                <a16:creationId xmlns:a16="http://schemas.microsoft.com/office/drawing/2014/main" id="{00000000-0008-0000-0300-000090000000}"/>
              </a:ext>
            </a:extLst>
          </xdr:cNvPr>
          <xdr:cNvSpPr/>
        </xdr:nvSpPr>
        <xdr:spPr>
          <a:xfrm rot="5400000">
            <a:off x="9960393"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5" name="Text Box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063158"/>
            <a:ext cx="828641" cy="101344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Extract characters</a:t>
            </a:r>
            <a:r>
              <a:rPr lang="en-US" sz="1100" baseline="0">
                <a:effectLst/>
                <a:latin typeface="+mn-lt"/>
                <a:ea typeface="Calibri" panose="020F0502020204030204" pitchFamily="34" charset="0"/>
                <a:cs typeface="Times New Roman" panose="02020603050405020304" pitchFamily="18" charset="0"/>
              </a:rPr>
              <a:t> from the right side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46" name="Left Brace 145" descr="Bracket line">
            <a:extLst>
              <a:ext uri="{FF2B5EF4-FFF2-40B4-BE49-F238E27FC236}">
                <a16:creationId xmlns:a16="http://schemas.microsoft.com/office/drawing/2014/main" id="{00000000-0008-0000-0300-000092000000}"/>
              </a:ext>
            </a:extLst>
          </xdr:cNvPr>
          <xdr:cNvSpPr/>
        </xdr:nvSpPr>
        <xdr:spPr>
          <a:xfrm rot="5400000">
            <a:off x="10600586" y="13005427"/>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7" name="Text Box 2" descr="…this cell...">
            <a:extLst>
              <a:ext uri="{FF2B5EF4-FFF2-40B4-BE49-F238E27FC236}">
                <a16:creationId xmlns:a16="http://schemas.microsoft.com/office/drawing/2014/main" id="{00000000-0008-0000-0300-000093000000}"/>
              </a:ext>
            </a:extLst>
          </xdr:cNvPr>
          <xdr:cNvSpPr txBox="1">
            <a:spLocks noChangeArrowheads="1"/>
          </xdr:cNvSpPr>
        </xdr:nvSpPr>
        <xdr:spPr bwMode="auto">
          <a:xfrm>
            <a:off x="10600421" y="12062332"/>
            <a:ext cx="657313" cy="101048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48" name="Text Box 2" descr="...and extract this many characters. To specify the number of characters, use the LEN function...">
            <a:extLst>
              <a:ext uri="{FF2B5EF4-FFF2-40B4-BE49-F238E27FC236}">
                <a16:creationId xmlns:a16="http://schemas.microsoft.com/office/drawing/2014/main" id="{00000000-0008-0000-0300-000094000000}"/>
              </a:ext>
            </a:extLst>
          </xdr:cNvPr>
          <xdr:cNvSpPr txBox="1">
            <a:spLocks noChangeArrowheads="1"/>
          </xdr:cNvSpPr>
        </xdr:nvSpPr>
        <xdr:spPr bwMode="auto">
          <a:xfrm>
            <a:off x="11305911" y="12062328"/>
            <a:ext cx="3208574" cy="1010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extract this</a:t>
            </a:r>
            <a:r>
              <a:rPr lang="en-US" sz="1100" baseline="0">
                <a:effectLst/>
                <a:latin typeface="+mn-lt"/>
                <a:ea typeface="Calibri" panose="020F0502020204030204" pitchFamily="34" charset="0"/>
                <a:cs typeface="Times New Roman" panose="02020603050405020304" pitchFamily="18" charset="0"/>
              </a:rPr>
              <a:t> many characters. To specify the number of characters, use the LEN function...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49" name="Left Brace 148" descr="Bracket line">
            <a:extLst>
              <a:ext uri="{FF2B5EF4-FFF2-40B4-BE49-F238E27FC236}">
                <a16:creationId xmlns:a16="http://schemas.microsoft.com/office/drawing/2014/main" id="{00000000-0008-0000-0300-000095000000}"/>
              </a:ext>
            </a:extLst>
          </xdr:cNvPr>
          <xdr:cNvSpPr/>
        </xdr:nvSpPr>
        <xdr:spPr>
          <a:xfrm rot="5400000">
            <a:off x="12393036" y="11712541"/>
            <a:ext cx="219905" cy="29387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0" name="TextBox 100" descr="=RIGHT(C56,LEN(C56)-FIND(&quot; &quot;,C56))">
            <a:extLst>
              <a:ext uri="{FF2B5EF4-FFF2-40B4-BE49-F238E27FC236}">
                <a16:creationId xmlns:a16="http://schemas.microsoft.com/office/drawing/2014/main" id="{00000000-0008-0000-0300-000096000000}"/>
              </a:ext>
            </a:extLst>
          </xdr:cNvPr>
          <xdr:cNvSpPr txBox="1"/>
        </xdr:nvSpPr>
        <xdr:spPr>
          <a:xfrm>
            <a:off x="9508487" y="132423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a:spcBef>
                <a:spcPts val="0"/>
              </a:spcBef>
              <a:spcAft>
                <a:spcPts val="0"/>
              </a:spcAft>
            </a:pPr>
            <a:r>
              <a:rPr lang="en-US" sz="1600" b="1" spc="100">
                <a:solidFill>
                  <a:srgbClr val="000000"/>
                </a:solidFill>
                <a:effectLst/>
                <a:latin typeface="Courier New" panose="02070309020205020404" pitchFamily="49" charset="0"/>
                <a:ea typeface="Times New Roman" panose="02020603050405020304" pitchFamily="18" charset="0"/>
              </a:rPr>
              <a:t>=RIGHT(C56,LEN(C56)-FIND("</a:t>
            </a:r>
            <a:r>
              <a:rPr lang="en-US" sz="1600" b="1" spc="100" baseline="0">
                <a:solidFill>
                  <a:srgbClr val="000000"/>
                </a:solidFill>
                <a:effectLst/>
                <a:latin typeface="Courier New" panose="02070309020205020404" pitchFamily="49" charset="0"/>
                <a:ea typeface="Times New Roman" panose="02020603050405020304" pitchFamily="18" charset="0"/>
              </a:rPr>
              <a:t> ",C56</a:t>
            </a:r>
            <a:r>
              <a:rPr lang="en-US" sz="1600" b="1" spc="100">
                <a:solidFill>
                  <a:srgbClr val="000000"/>
                </a:solidFill>
                <a:effectLst/>
                <a:latin typeface="Courier New" panose="02070309020205020404" pitchFamily="49" charset="0"/>
                <a:ea typeface="Times New Roman" panose="02020603050405020304" pitchFamily="18" charset="0"/>
              </a:rPr>
              <a:t>))</a:t>
            </a:r>
            <a:endParaRPr lang="en-US" sz="1600" b="1" spc="100">
              <a:effectLst/>
              <a:latin typeface="Times New Roman" panose="02020603050405020304" pitchFamily="18" charset="0"/>
              <a:ea typeface="Times New Roman" panose="02020603050405020304" pitchFamily="18" charset="0"/>
            </a:endParaRPr>
          </a:p>
        </xdr:txBody>
      </xdr:sp>
      <xdr:sp macro="" textlink="">
        <xdr:nvSpPr>
          <xdr:cNvPr id="151" name="Text Box 2">
            <a:extLst>
              <a:ext uri="{FF2B5EF4-FFF2-40B4-BE49-F238E27FC236}">
                <a16:creationId xmlns:a16="http://schemas.microsoft.com/office/drawing/2014/main" id="{00000000-0008-0000-0300-000097000000}"/>
              </a:ext>
            </a:extLst>
          </xdr:cNvPr>
          <xdr:cNvSpPr txBox="1">
            <a:spLocks noChangeArrowheads="1"/>
          </xdr:cNvSpPr>
        </xdr:nvSpPr>
        <xdr:spPr bwMode="auto">
          <a:xfrm>
            <a:off x="100769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get </a:t>
            </a:r>
            <a:r>
              <a:rPr lang="en-US" sz="1100" baseline="0">
                <a:effectLst/>
                <a:latin typeface="+mn-lt"/>
                <a:ea typeface="Calibri" panose="020F0502020204030204" pitchFamily="34" charset="0"/>
                <a:cs typeface="Times New Roman" panose="02020603050405020304" pitchFamily="18" charset="0"/>
              </a:rPr>
              <a:t>the count of characters (character length) of...</a:t>
            </a: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52" name="Left Brace 151" descr="Bracket line">
            <a:extLst>
              <a:ext uri="{FF2B5EF4-FFF2-40B4-BE49-F238E27FC236}">
                <a16:creationId xmlns:a16="http://schemas.microsoft.com/office/drawing/2014/main" id="{00000000-0008-0000-0300-000098000000}"/>
              </a:ext>
            </a:extLst>
          </xdr:cNvPr>
          <xdr:cNvSpPr/>
        </xdr:nvSpPr>
        <xdr:spPr>
          <a:xfrm rot="16200000">
            <a:off x="1109787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3" name="Text Box 2" descr="...this cell...">
            <a:extLst>
              <a:ext uri="{FF2B5EF4-FFF2-40B4-BE49-F238E27FC236}">
                <a16:creationId xmlns:a16="http://schemas.microsoft.com/office/drawing/2014/main" id="{00000000-0008-0000-0300-000099000000}"/>
              </a:ext>
            </a:extLst>
          </xdr:cNvPr>
          <xdr:cNvSpPr txBox="1">
            <a:spLocks noChangeArrowheads="1"/>
          </xdr:cNvSpPr>
        </xdr:nvSpPr>
        <xdr:spPr bwMode="auto">
          <a:xfrm>
            <a:off x="11294799" y="13759768"/>
            <a:ext cx="486606"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...this cell...</a:t>
            </a:r>
          </a:p>
        </xdr:txBody>
      </xdr:sp>
      <xdr:sp macro="" textlink="">
        <xdr:nvSpPr>
          <xdr:cNvPr id="154" name="Left Brace 153" descr="Bracket line">
            <a:extLst>
              <a:ext uri="{FF2B5EF4-FFF2-40B4-BE49-F238E27FC236}">
                <a16:creationId xmlns:a16="http://schemas.microsoft.com/office/drawing/2014/main" id="{00000000-0008-0000-0300-00009A000000}"/>
              </a:ext>
            </a:extLst>
          </xdr:cNvPr>
          <xdr:cNvSpPr/>
        </xdr:nvSpPr>
        <xdr:spPr>
          <a:xfrm rot="16200000">
            <a:off x="11609943"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5" name="Text Box 2" descr="...and subtract this number:">
            <a:extLst>
              <a:ext uri="{FF2B5EF4-FFF2-40B4-BE49-F238E27FC236}">
                <a16:creationId xmlns:a16="http://schemas.microsoft.com/office/drawing/2014/main" id="{00000000-0008-0000-0300-00009B000000}"/>
              </a:ext>
            </a:extLst>
          </xdr:cNvPr>
          <xdr:cNvSpPr txBox="1">
            <a:spLocks noChangeArrowheads="1"/>
          </xdr:cNvSpPr>
        </xdr:nvSpPr>
        <xdr:spPr bwMode="auto">
          <a:xfrm>
            <a:off x="11807191" y="13759768"/>
            <a:ext cx="672747"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...and subtract this number:</a:t>
            </a:r>
          </a:p>
        </xdr:txBody>
      </xdr:sp>
      <xdr:sp macro="" textlink="">
        <xdr:nvSpPr>
          <xdr:cNvPr id="156" name="Left Brace 155" descr="Bracket line">
            <a:extLst>
              <a:ext uri="{FF2B5EF4-FFF2-40B4-BE49-F238E27FC236}">
                <a16:creationId xmlns:a16="http://schemas.microsoft.com/office/drawing/2014/main" id="{00000000-0008-0000-0300-00009C000000}"/>
              </a:ext>
            </a:extLst>
          </xdr:cNvPr>
          <xdr:cNvSpPr/>
        </xdr:nvSpPr>
        <xdr:spPr>
          <a:xfrm rot="16200000">
            <a:off x="12005730"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7" name="Text Box 2" descr="Find the character position number of...">
            <a:extLst>
              <a:ext uri="{FF2B5EF4-FFF2-40B4-BE49-F238E27FC236}">
                <a16:creationId xmlns:a16="http://schemas.microsoft.com/office/drawing/2014/main" id="{00000000-0008-0000-0300-00009D000000}"/>
              </a:ext>
            </a:extLst>
          </xdr:cNvPr>
          <xdr:cNvSpPr txBox="1">
            <a:spLocks noChangeArrowheads="1"/>
          </xdr:cNvSpPr>
        </xdr:nvSpPr>
        <xdr:spPr bwMode="auto">
          <a:xfrm>
            <a:off x="12509708" y="13759768"/>
            <a:ext cx="726219"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Find</a:t>
            </a:r>
            <a:r>
              <a:rPr lang="en-US" sz="1100" baseline="0">
                <a:effectLst/>
                <a:latin typeface="+mn-lt"/>
                <a:ea typeface="Calibri" panose="020F0502020204030204" pitchFamily="34" charset="0"/>
                <a:cs typeface="Times New Roman" panose="02020603050405020304" pitchFamily="18" charset="0"/>
              </a:rPr>
              <a:t> the character position number of...</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58" name="Left Brace 157" descr="Bracket line">
            <a:extLst>
              <a:ext uri="{FF2B5EF4-FFF2-40B4-BE49-F238E27FC236}">
                <a16:creationId xmlns:a16="http://schemas.microsoft.com/office/drawing/2014/main" id="{00000000-0008-0000-0300-00009E000000}"/>
              </a:ext>
            </a:extLst>
          </xdr:cNvPr>
          <xdr:cNvSpPr/>
        </xdr:nvSpPr>
        <xdr:spPr>
          <a:xfrm rot="16200000">
            <a:off x="12372937" y="13369398"/>
            <a:ext cx="248484" cy="52994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59" name="Text Box 2" descr="...the first space...">
            <a:extLst>
              <a:ext uri="{FF2B5EF4-FFF2-40B4-BE49-F238E27FC236}">
                <a16:creationId xmlns:a16="http://schemas.microsoft.com/office/drawing/2014/main" id="{00000000-0008-0000-0300-00009F000000}"/>
              </a:ext>
            </a:extLst>
          </xdr:cNvPr>
          <xdr:cNvSpPr txBox="1">
            <a:spLocks noChangeArrowheads="1"/>
          </xdr:cNvSpPr>
        </xdr:nvSpPr>
        <xdr:spPr bwMode="auto">
          <a:xfrm>
            <a:off x="13260296" y="13759768"/>
            <a:ext cx="51425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...the first space...</a:t>
            </a:r>
          </a:p>
        </xdr:txBody>
      </xdr:sp>
      <xdr:sp macro="" textlink="">
        <xdr:nvSpPr>
          <xdr:cNvPr id="160" name="Left Brace 159" descr="Bracket line">
            <a:extLst>
              <a:ext uri="{FF2B5EF4-FFF2-40B4-BE49-F238E27FC236}">
                <a16:creationId xmlns:a16="http://schemas.microsoft.com/office/drawing/2014/main" id="{00000000-0008-0000-0300-0000A0000000}"/>
              </a:ext>
            </a:extLst>
          </xdr:cNvPr>
          <xdr:cNvSpPr/>
        </xdr:nvSpPr>
        <xdr:spPr>
          <a:xfrm rot="16200000">
            <a:off x="13011464" y="13456701"/>
            <a:ext cx="257175" cy="337621"/>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1" name="Text Box 2" descr="...in this cell">
            <a:extLst>
              <a:ext uri="{FF2B5EF4-FFF2-40B4-BE49-F238E27FC236}">
                <a16:creationId xmlns:a16="http://schemas.microsoft.com/office/drawing/2014/main" id="{00000000-0008-0000-0300-0000A1000000}"/>
              </a:ext>
            </a:extLst>
          </xdr:cNvPr>
          <xdr:cNvSpPr txBox="1">
            <a:spLocks noChangeArrowheads="1"/>
          </xdr:cNvSpPr>
        </xdr:nvSpPr>
        <xdr:spPr bwMode="auto">
          <a:xfrm>
            <a:off x="13802126" y="13759768"/>
            <a:ext cx="475365"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...in</a:t>
            </a:r>
            <a:r>
              <a:rPr lang="en-US" sz="1100" baseline="0">
                <a:effectLst/>
                <a:latin typeface="+mn-lt"/>
                <a:ea typeface="Calibri" panose="020F0502020204030204" pitchFamily="34" charset="0"/>
                <a:cs typeface="Times New Roman" panose="02020603050405020304" pitchFamily="18" charset="0"/>
              </a:rPr>
              <a:t> this cell.</a:t>
            </a:r>
            <a:endParaRPr lang="en-US" sz="1100">
              <a:effectLst/>
              <a:latin typeface="+mn-lt"/>
              <a:ea typeface="Calibri" panose="020F0502020204030204" pitchFamily="34" charset="0"/>
              <a:cs typeface="Times New Roman" panose="02020603050405020304" pitchFamily="18" charset="0"/>
            </a:endParaRPr>
          </a:p>
        </xdr:txBody>
      </xdr:sp>
      <xdr:sp macro="" textlink="">
        <xdr:nvSpPr>
          <xdr:cNvPr id="162" name="Left Brace 161" descr="Bracket line">
            <a:extLst>
              <a:ext uri="{FF2B5EF4-FFF2-40B4-BE49-F238E27FC236}">
                <a16:creationId xmlns:a16="http://schemas.microsoft.com/office/drawing/2014/main" id="{00000000-0008-0000-0300-0000A2000000}"/>
              </a:ext>
            </a:extLst>
          </xdr:cNvPr>
          <xdr:cNvSpPr/>
        </xdr:nvSpPr>
        <xdr:spPr>
          <a:xfrm rot="16200000">
            <a:off x="13574648"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63" name="Step" descr="HOW IT WORKS:">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200" b="1" i="0" u="none" strike="noStrike" kern="0" cap="none" spc="0" normalizeH="0" baseline="0" noProof="0">
                <a:ln>
                  <a:noFill/>
                </a:ln>
                <a:solidFill>
                  <a:schemeClr val="accent1"/>
                </a:solidFill>
                <a:effectLst/>
                <a:uLnTx/>
                <a:uFillTx/>
                <a:latin typeface="+mj-lt"/>
                <a:ea typeface="Segoe UI" pitchFamily="34" charset="0"/>
                <a:cs typeface="Segoe UI Light" panose="020B0502040204020203" pitchFamily="34" charset="0"/>
              </a:rPr>
              <a:t>HOW IT WORKS:</a:t>
            </a:r>
            <a:endParaRPr lang="en-US" sz="1050" b="1" i="0" u="none" cap="none" spc="0">
              <a:ln>
                <a:noFill/>
              </a:ln>
              <a:solidFill>
                <a:schemeClr val="accent1"/>
              </a:solidFill>
              <a:effectLst/>
              <a:latin typeface="+mj-lt"/>
              <a:ea typeface="Segoe UI" pitchFamily="34" charset="0"/>
              <a:cs typeface="Segoe UI Light" panose="020B0502040204020203" pitchFamily="34" charset="0"/>
            </a:endParaRPr>
          </a:p>
        </xdr:txBody>
      </xdr:sp>
      <xdr:cxnSp macro="">
        <xdr:nvCxnSpPr>
          <xdr:cNvPr id="6" name="Straight Connector 5" descr="Decorative line">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5245678</xdr:colOff>
      <xdr:row>77</xdr:row>
      <xdr:rowOff>9526</xdr:rowOff>
    </xdr:to>
    <xdr:grpSp>
      <xdr:nvGrpSpPr>
        <xdr:cNvPr id="4" name="Split a column with formulas"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398319" y="9698182"/>
          <a:ext cx="5716039" cy="5551344"/>
          <a:chOff x="398319" y="10117281"/>
          <a:chExt cx="5695084" cy="5637069"/>
        </a:xfrm>
      </xdr:grpSpPr>
      <xdr:sp macro="" textlink="">
        <xdr:nvSpPr>
          <xdr:cNvPr id="166" name="Rectangle 165" descr="Background">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7" name="Step" descr="Split a column with fo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with formulas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8" name="Straight Connector 167" descr="Decorative line">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Straight Connector 168" descr="Decorative line">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Step" descr="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
            <a:extLst>
              <a:ext uri="{FF2B5EF4-FFF2-40B4-BE49-F238E27FC236}">
                <a16:creationId xmlns:a16="http://schemas.microsoft.com/office/drawing/2014/main" id="{00000000-0008-0000-0300-0000AA000000}"/>
              </a:ext>
            </a:extLst>
          </xdr:cNvPr>
          <xdr:cNvSpPr txBox="1"/>
        </xdr:nvSpPr>
        <xdr:spPr>
          <a:xfrm>
            <a:off x="626884" y="10826527"/>
            <a:ext cx="5300132"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a:t>
            </a:r>
          </a:p>
        </xdr:txBody>
      </xdr:sp>
      <xdr:sp macro="" textlink="">
        <xdr:nvSpPr>
          <xdr:cNvPr id="171" name="Step"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2148152"/>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the yellow cell with </a:t>
            </a:r>
            <a:r>
              <a:rPr lang="en-US" sz="1100" b="1">
                <a:latin typeface="Segoe UI" panose="020B0502040204020203" pitchFamily="34" charset="0"/>
                <a:cs typeface="Segoe UI" panose="020B0502040204020203" pitchFamily="34" charset="0"/>
              </a:rPr>
              <a:t>Yvonne</a:t>
            </a:r>
            <a:r>
              <a:rPr lang="en-US" sz="1100">
                <a:latin typeface="Segoe UI" panose="020B0502040204020203" pitchFamily="34" charset="0"/>
                <a:cs typeface="Segoe UI" panose="020B0502040204020203" pitchFamily="34" charset="0"/>
              </a:rPr>
              <a:t>.  We used the LEFT function to extract characters from the left side of cell C56. And to specify the number of characters to extract, we used the FIND function. Read the</a:t>
            </a:r>
            <a:r>
              <a:rPr lang="en-US" sz="1100" baseline="0">
                <a:latin typeface="Segoe UI" panose="020B0502040204020203" pitchFamily="34" charset="0"/>
                <a:cs typeface="Segoe UI" panose="020B0502040204020203" pitchFamily="34" charset="0"/>
              </a:rPr>
              <a:t> </a:t>
            </a:r>
            <a:r>
              <a:rPr lang="en-US" sz="1100" b="1" baseline="0">
                <a:latin typeface="Segoe UI" panose="020B0502040204020203" pitchFamily="34" charset="0"/>
                <a:cs typeface="Segoe UI" panose="020B0502040204020203" pitchFamily="34" charset="0"/>
              </a:rPr>
              <a:t>How it works </a:t>
            </a:r>
            <a:r>
              <a:rPr lang="en-US" sz="1100" baseline="0">
                <a:latin typeface="Segoe UI" panose="020B0502040204020203" pitchFamily="34" charset="0"/>
                <a:cs typeface="Segoe UI" panose="020B0502040204020203" pitchFamily="34" charset="0"/>
              </a:rPr>
              <a:t>diagram, and then press ESC when you're done. </a:t>
            </a:r>
            <a:endParaRPr lang="en-US" sz="1100">
              <a:latin typeface="Segoe UI" panose="020B0502040204020203" pitchFamily="34" charset="0"/>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10565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73" name="Step" descr="Then we created a [Helper column]. This was just to “help” extract the other text in the cell. It’s meant to be temporary and something one could always hide later">
            <a:extLst>
              <a:ext uri="{FF2B5EF4-FFF2-40B4-BE49-F238E27FC236}">
                <a16:creationId xmlns:a16="http://schemas.microsoft.com/office/drawing/2014/main" id="{00000000-0008-0000-0300-0000AD000000}"/>
              </a:ext>
            </a:extLst>
          </xdr:cNvPr>
          <xdr:cNvSpPr txBox="1"/>
        </xdr:nvSpPr>
        <xdr:spPr>
          <a:xfrm>
            <a:off x="1037004" y="12968857"/>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Then we created a </a:t>
            </a:r>
            <a:r>
              <a:rPr lang="en-US" sz="1100" b="1">
                <a:latin typeface="Segoe UI" panose="020B0502040204020203" pitchFamily="34" charset="0"/>
                <a:cs typeface="Segoe UI" panose="020B0502040204020203" pitchFamily="34" charset="0"/>
              </a:rPr>
              <a:t>[Helper column]</a:t>
            </a:r>
            <a:r>
              <a:rPr lang="en-US" sz="1100">
                <a:latin typeface="Segoe UI" panose="020B0502040204020203" pitchFamily="34" charset="0"/>
                <a:cs typeface="Segoe UI" panose="020B0502040204020203" pitchFamily="34" charset="0"/>
              </a:rPr>
              <a:t>. This was just to “help” extract the other text in the cell. It’s meant to be temporary and something one could always hide later. </a:t>
            </a: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292635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75" name="Step" descr="Double-click McKay. This is the same formula as in step 3, but it extracts characters from F56 instead of cell C56">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McKay</a:t>
            </a:r>
            <a:r>
              <a:rPr lang="en-US" sz="1100">
                <a:latin typeface="Segoe UI" panose="020B0502040204020203" pitchFamily="34" charset="0"/>
                <a:cs typeface="Segoe UI" panose="020B0502040204020203" pitchFamily="34" charset="0"/>
              </a:rPr>
              <a:t>. This is the same formula as in step 3, but it extracts characters from F56 instead of cell C56. </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77" name="Step" descr="Double-click Francis McKay in the [Helper column]. You’ll see that we used the RIGHT, LEN, and FIND functions to extract characters from the first space, up until the end of the cell">
            <a:extLst>
              <a:ext uri="{FF2B5EF4-FFF2-40B4-BE49-F238E27FC236}">
                <a16:creationId xmlns:a16="http://schemas.microsoft.com/office/drawing/2014/main" id="{00000000-0008-0000-0300-0000B1000000}"/>
              </a:ext>
            </a:extLst>
          </xdr:cNvPr>
          <xdr:cNvSpPr txBox="1"/>
        </xdr:nvSpPr>
        <xdr:spPr>
          <a:xfrm>
            <a:off x="1037004" y="13625419"/>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 McKay</a:t>
            </a:r>
            <a:r>
              <a:rPr lang="en-US" sz="1100" b="0">
                <a:latin typeface="Segoe UI" panose="020B0502040204020203" pitchFamily="34" charset="0"/>
                <a:cs typeface="Segoe UI" panose="020B0502040204020203" pitchFamily="34" charset="0"/>
              </a:rPr>
              <a:t> in the [Helper column]</a:t>
            </a:r>
            <a:r>
              <a:rPr lang="en-US" sz="1100">
                <a:latin typeface="Segoe UI" panose="020B0502040204020203" pitchFamily="34" charset="0"/>
                <a:cs typeface="Segoe UI" panose="020B0502040204020203" pitchFamily="34" charset="0"/>
              </a:rPr>
              <a:t>. You’ll see that we used the RIGHT, LEN, and FIND functions to extract characters from the first space, up until the end of the cell.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58292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79" name="Step" descr="Double-click Francis. Here we used almost the same formula as in step 1, but instead of extracting characters from C56, it extracts them from F56">
            <a:extLst>
              <a:ext uri="{FF2B5EF4-FFF2-40B4-BE49-F238E27FC236}">
                <a16:creationId xmlns:a16="http://schemas.microsoft.com/office/drawing/2014/main" id="{00000000-0008-0000-0300-0000B3000000}"/>
              </a:ext>
            </a:extLst>
          </xdr:cNvPr>
          <xdr:cNvSpPr txBox="1"/>
        </xdr:nvSpPr>
        <xdr:spPr>
          <a:xfrm>
            <a:off x="1037004" y="1429679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Double-click </a:t>
            </a:r>
            <a:r>
              <a:rPr lang="en-US" sz="1100" b="1">
                <a:latin typeface="Segoe UI" panose="020B0502040204020203" pitchFamily="34" charset="0"/>
                <a:cs typeface="Segoe UI" panose="020B0502040204020203" pitchFamily="34" charset="0"/>
              </a:rPr>
              <a:t>Francis</a:t>
            </a:r>
            <a:r>
              <a:rPr lang="en-US" sz="1100">
                <a:latin typeface="Segoe UI" panose="020B0502040204020203" pitchFamily="34" charset="0"/>
                <a:cs typeface="Segoe UI" panose="020B0502040204020203" pitchFamily="34" charset="0"/>
              </a:rPr>
              <a:t>. Here we used almost the same formula as in step 1, but instead of extracting characters from C56, it extracts them from F56.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254296"/>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5248275</xdr:colOff>
      <xdr:row>102</xdr:row>
      <xdr:rowOff>142875</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00050" y="15392400"/>
          <a:ext cx="5716905" cy="4752975"/>
          <a:chOff x="400050" y="15944850"/>
          <a:chExt cx="5695950" cy="4619625"/>
        </a:xfrm>
      </xdr:grpSpPr>
      <xdr:sp macro="" textlink="">
        <xdr:nvSpPr>
          <xdr:cNvPr id="198" name="Rectangle 197" descr="Background">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9" name="Step" descr="More information on the web">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00" name="Straight Connector 199" descr="Decorative line">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Next Button" descr="Back to top, hyperlinked to cell A1">
            <a:hlinkClick xmlns:r="http://schemas.openxmlformats.org/officeDocument/2006/relationships" r:id="rId3" tooltip="Select to go back to cell A1 in this worksheet"/>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202" name="Straight Connector 201" descr="Decorative line">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204" name="Step" descr="Split text into different columns, hyperlinked to web">
            <a:hlinkClick xmlns:r="http://schemas.openxmlformats.org/officeDocument/2006/relationships" r:id="rId5" tooltip="Select to learn about splitting text into different columns from the web"/>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Split text into different columns</a:t>
            </a:r>
          </a:p>
        </xdr:txBody>
      </xdr:sp>
      <xdr:pic>
        <xdr:nvPicPr>
          <xdr:cNvPr id="205"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Step" descr="All about Get &amp; Transform, hyperlinked to web">
            <a:hlinkClick xmlns:r="http://schemas.openxmlformats.org/officeDocument/2006/relationships" r:id="rId8" tooltip="Select to learn all about Get &amp; Transform from the web"/>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Get &amp; Transform </a:t>
            </a:r>
          </a:p>
          <a:p>
            <a:pPr lvl="0">
              <a:defRPr/>
            </a:pP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207"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Step" descr="All about the LEFT function, hyperlinked to web">
            <a:hlinkClick xmlns:r="http://schemas.openxmlformats.org/officeDocument/2006/relationships" r:id="rId9" tooltip="Select to learn all about the LEFT function from the web"/>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LEFT function</a:t>
            </a:r>
          </a:p>
        </xdr:txBody>
      </xdr:sp>
      <xdr:pic>
        <xdr:nvPicPr>
          <xdr:cNvPr id="209"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Step" descr="All about the RIGHT function, hyperlinked to web">
            <a:hlinkClick xmlns:r="http://schemas.openxmlformats.org/officeDocument/2006/relationships" r:id="rId10" tooltip="Select to learn all about the RIGHT function from the web"/>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RIGHT function</a:t>
            </a:r>
          </a:p>
        </xdr:txBody>
      </xdr:sp>
      <xdr:pic>
        <xdr:nvPicPr>
          <xdr:cNvPr id="21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Step" descr="All about the FIND function, hyperlinked to web">
            <a:hlinkClick xmlns:r="http://schemas.openxmlformats.org/officeDocument/2006/relationships" r:id="rId11" tooltip="Select to learn all about the FIND function from the web"/>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FIND function</a:t>
            </a:r>
          </a:p>
        </xdr:txBody>
      </xdr:sp>
      <xdr:pic>
        <xdr:nvPicPr>
          <xdr:cNvPr id="214"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Step" descr="All about the LEN function, hyperlinked to web">
            <a:hlinkClick xmlns:r="http://schemas.openxmlformats.org/officeDocument/2006/relationships" r:id="rId12" tooltip="Select to learn all about the LEN function from the web"/>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LEN function</a:t>
            </a:r>
          </a:p>
        </xdr:txBody>
      </xdr:sp>
      <xdr:pic>
        <xdr:nvPicPr>
          <xdr:cNvPr id="216"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5238750</xdr:colOff>
      <xdr:row>46</xdr:row>
      <xdr:rowOff>130174</xdr:rowOff>
    </xdr:to>
    <xdr:grpSp>
      <xdr:nvGrpSpPr>
        <xdr:cNvPr id="3" name="Split a column based on delimiters"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0525" y="5524500"/>
          <a:ext cx="5716905" cy="3940174"/>
          <a:chOff x="390525" y="5943600"/>
          <a:chExt cx="5695950" cy="3940174"/>
        </a:xfrm>
      </xdr:grpSpPr>
      <xdr:sp macro="" textlink="">
        <xdr:nvSpPr>
          <xdr:cNvPr id="181" name="Rectangle 180" descr="Background">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Split a column based on delimiter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Split a column based on delimiters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00000000-0008-0000-0300-0000B7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Straight Connector 183" descr="Decorative line">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Step" descr="Flash Fill is pretty handy. But if you want to split data into more than one column all at once, then it's not the best tool for the job. Try Text to Columns in this situation:">
            <a:extLst>
              <a:ext uri="{FF2B5EF4-FFF2-40B4-BE49-F238E27FC236}">
                <a16:creationId xmlns:a16="http://schemas.microsoft.com/office/drawing/2014/main" id="{00000000-0008-0000-0300-0000B9000000}"/>
              </a:ext>
            </a:extLst>
          </xdr:cNvPr>
          <xdr:cNvSpPr txBox="1"/>
        </xdr:nvSpPr>
        <xdr:spPr>
          <a:xfrm>
            <a:off x="619125" y="6652845"/>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Flash Fill is pretty handy. But if you want to split data into more than one column all at once, then it's not the best tool for the job. </a:t>
            </a:r>
            <a:r>
              <a:rPr lang="en-US" sz="1100" b="0">
                <a:latin typeface="Segoe UI" panose="020B0502040204020203" pitchFamily="34" charset="0"/>
                <a:cs typeface="Segoe UI" panose="020B0502040204020203" pitchFamily="34" charset="0"/>
              </a:rPr>
              <a:t>Try </a:t>
            </a:r>
            <a:r>
              <a:rPr lang="en-US" sz="1100" b="1">
                <a:latin typeface="Segoe UI" panose="020B0502040204020203" pitchFamily="34" charset="0"/>
                <a:cs typeface="Segoe UI" panose="020B0502040204020203" pitchFamily="34" charset="0"/>
              </a:rPr>
              <a:t>Text to Columns </a:t>
            </a:r>
            <a:r>
              <a:rPr lang="en-US" sz="1100">
                <a:latin typeface="Segoe UI" panose="020B0502040204020203" pitchFamily="34" charset="0"/>
                <a:cs typeface="Segoe UI" panose="020B0502040204020203" pitchFamily="34" charset="0"/>
              </a:rPr>
              <a:t>in this situation:</a:t>
            </a:r>
          </a:p>
        </xdr:txBody>
      </xdr:sp>
      <xdr:sp macro="" textlink="">
        <xdr:nvSpPr>
          <xdr:cNvPr id="186" name="Step" descr="Click and drag to select the cells from Nancy all the way down to Yvonne">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cells from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Nancy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all the way down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Yvonne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88" name="Step" descr="On the Data tab, click Text to Columns. Make sure that Delimited is selected, and then click Next">
            <a:extLst>
              <a:ext uri="{FF2B5EF4-FFF2-40B4-BE49-F238E27FC236}">
                <a16:creationId xmlns:a16="http://schemas.microsoft.com/office/drawing/2014/main" id="{00000000-0008-0000-0300-0000BC000000}"/>
              </a:ext>
            </a:extLst>
          </xdr:cNvPr>
          <xdr:cNvSpPr txBox="1"/>
        </xdr:nvSpPr>
        <xdr:spPr>
          <a:xfrm>
            <a:off x="1029307" y="763283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 to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91" name="Step" descr="Under Delimiters, make sure that Comma is the only checkbox selected, and then click Next">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Delimiters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that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Comma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is the only checkbox selected,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Next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93" name="Step" descr="Click the General option">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General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option.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95" name="Step" descr="Finally, click inside the Destination box and type $D$32. Then click Finish">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Finally, 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Destination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and type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$D$32</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Finish</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6</xdr:col>
      <xdr:colOff>781050</xdr:colOff>
      <xdr:row>48</xdr:row>
      <xdr:rowOff>161925</xdr:rowOff>
    </xdr:to>
    <xdr:grpSp>
      <xdr:nvGrpSpPr>
        <xdr:cNvPr id="2" name="WORTH EXPLORING" descr="WORTH EXPLORING: 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02000000}"/>
            </a:ext>
          </a:extLst>
        </xdr:cNvPr>
        <xdr:cNvGrpSpPr/>
      </xdr:nvGrpSpPr>
      <xdr:grpSpPr>
        <a:xfrm>
          <a:off x="8658225" y="8172449"/>
          <a:ext cx="3453765" cy="1704976"/>
          <a:chOff x="8477250" y="8591549"/>
          <a:chExt cx="3314700" cy="1504951"/>
        </a:xfrm>
      </xdr:grpSpPr>
      <xdr:pic>
        <xdr:nvPicPr>
          <xdr:cNvPr id="227" name="Graphic 9" descr="Hike">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Step"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another way of working with data. Y</a:t>
            </a:r>
            <a:r>
              <a:rPr lang="en-US" sz="1100" kern="0" baseline="0">
                <a:solidFill>
                  <a:schemeClr val="bg2">
                    <a:lumMod val="25000"/>
                  </a:schemeClr>
                </a:solidFill>
                <a:ea typeface="Segoe UI" pitchFamily="34" charset="0"/>
                <a:cs typeface="Segoe UI Light" panose="020B0502040204020203" pitchFamily="34" charset="0"/>
              </a:rPr>
              <a:t>ou can query an external source, and you can split the data that comes from the source. You do that once, and the data is refreshable and easy to work with from that moment on. Curious? Click the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tab, and then explore the options in the </a:t>
            </a:r>
            <a:r>
              <a:rPr lang="en-US" sz="1100" b="1" kern="0" baseline="0">
                <a:solidFill>
                  <a:schemeClr val="bg2">
                    <a:lumMod val="25000"/>
                  </a:schemeClr>
                </a:solidFill>
                <a:ea typeface="Segoe UI" pitchFamily="34" charset="0"/>
                <a:cs typeface="Segoe UI Light" panose="020B0502040204020203" pitchFamily="34" charset="0"/>
              </a:rPr>
              <a:t>Get &amp; Transform </a:t>
            </a:r>
            <a:r>
              <a:rPr lang="en-US" sz="1100" kern="0" baseline="0">
                <a:solidFill>
                  <a:schemeClr val="bg2">
                    <a:lumMod val="25000"/>
                  </a:schemeClr>
                </a:solidFill>
                <a:ea typeface="Segoe UI" pitchFamily="34" charset="0"/>
                <a:cs typeface="Segoe UI Light" panose="020B0502040204020203" pitchFamily="34" charset="0"/>
              </a:rPr>
              <a:t>area. Or see the link at the bottom of this sheet.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5172075</xdr:colOff>
      <xdr:row>22</xdr:row>
      <xdr:rowOff>114300</xdr:rowOff>
    </xdr:to>
    <xdr:grpSp>
      <xdr:nvGrpSpPr>
        <xdr:cNvPr id="13" name="Group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23850" y="257175"/>
          <a:ext cx="5716905" cy="4619625"/>
          <a:chOff x="323850" y="257175"/>
          <a:chExt cx="5695950" cy="4619625"/>
        </a:xfrm>
      </xdr:grpSpPr>
      <xdr:grpSp>
        <xdr:nvGrpSpPr>
          <xdr:cNvPr id="10" name="Group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Rectangle 72" descr="Background">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Data stuffed into one column? Split it">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Data stuffed into one column? Split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In the cells under First name, type the first names that are in the Email column: Nancy, Andy, and so on">
              <a:extLst>
                <a:ext uri="{FF2B5EF4-FFF2-40B4-BE49-F238E27FC236}">
                  <a16:creationId xmlns:a16="http://schemas.microsoft.com/office/drawing/2014/main" id="{00000000-0008-0000-0300-00004F000000}"/>
                </a:ext>
              </a:extLst>
            </xdr:cNvPr>
            <xdr:cNvSpPr txBox="1"/>
          </xdr:nvSpPr>
          <xdr:spPr>
            <a:xfrm>
              <a:off x="962633" y="10732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In the cells under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First name</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type the first names that are in the Email column: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Nancy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Andy</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so on.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Oval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1" name="Step" descr="When you see the faded list of suggestions, press Enter right away">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see the faded list of suggestions, press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Enter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right away.</a:t>
              </a:r>
            </a:p>
          </xdr:txBody>
        </xdr:sp>
        <xdr:sp macro="" textlink="">
          <xdr:nvSpPr>
            <xdr:cNvPr id="82" name="Oval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3" name="Step" descr="Try another way to Flash Fill: Click the cell with Smith">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Try another way to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 Click the cell with Smith.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4" name="Oval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6" name="Step" descr="This list of suggestions is called Flash Fill. Flash Fill detects when you type a consistent pattern, and provides suggestions to fill the cells with. When you see the faded list, that's your cue to press Enter">
              <a:extLst>
                <a:ext uri="{FF2B5EF4-FFF2-40B4-BE49-F238E27FC236}">
                  <a16:creationId xmlns:a16="http://schemas.microsoft.com/office/drawing/2014/main" id="{00000000-0008-0000-0300-000056000000}"/>
                </a:ext>
              </a:extLst>
            </xdr:cNvPr>
            <xdr:cNvSpPr txBox="1"/>
          </xdr:nvSpPr>
          <xdr:spPr>
            <a:xfrm>
              <a:off x="1808447" y="17908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This list of suggestions is called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Flash Fill</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Flash Fill detects when you type a consistent pattern, and provides suggestions to fill the cells with. When you see the faded list, that's your cue to press Enter.</a:t>
              </a:r>
            </a:p>
          </xdr:txBody>
        </xdr:sp>
        <xdr:sp macro="" textlink="">
          <xdr:nvSpPr>
            <xdr:cNvPr id="87" name="Step" descr="Click Home &gt; Fill &gt; Flash Fill. Now the last names are in their own column">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Fill </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Flash Fill</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Now the last names are in their own column.</a:t>
              </a:r>
            </a:p>
          </xdr:txBody>
        </xdr:sp>
        <xdr:sp macro="" textlink="">
          <xdr:nvSpPr>
            <xdr:cNvPr id="88" name="Oval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pic>
        <xdr:nvPicPr>
          <xdr:cNvPr id="12" name="Picture 11" descr="Flash Fill">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5172075</xdr:colOff>
      <xdr:row>22</xdr:row>
      <xdr:rowOff>123825</xdr:rowOff>
    </xdr:to>
    <xdr:grpSp>
      <xdr:nvGrpSpPr>
        <xdr:cNvPr id="11" name="Switch data around by transposing it"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716905" cy="4619625"/>
          <a:chOff x="323850" y="266700"/>
          <a:chExt cx="5695950" cy="4619625"/>
        </a:xfrm>
      </xdr:grpSpPr>
      <xdr:sp macro="" textlink="">
        <xdr:nvSpPr>
          <xdr:cNvPr id="73" name="Rectangle 72" descr="Background">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4" name="Step" descr="Switch data around by transposing it">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Switch data around by transposing it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5" name="Straight Connector 74" descr="Decorative line">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Next Button" descr="Dive down for more detail">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77" name="Straight Connector 76" descr="Decorative line">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79" name="Step" descr="When you need to rotate columns and rows, you transpose them in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When you need to rotate columns and rows, you </a:t>
            </a:r>
            <a:r>
              <a:rPr kumimoji="0" lang="en-US" sz="1100" b="0"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them in Excel.</a:t>
            </a:r>
          </a:p>
        </xdr:txBody>
      </xdr:sp>
      <xdr:sp macro="" textlink="">
        <xdr:nvSpPr>
          <xdr:cNvPr id="80" name="Step" descr="Click and drag to select the two rows of cells from Item, to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and drag to select the two rows of cells from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Item</a:t>
            </a:r>
            <a:r>
              <a:rPr kumimoji="0" lang="en-US" sz="110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20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2" name="Step" descr="Now you'll copy the cells. Press Ctrl and C key">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Now you'll copy the cells. Press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5" name="Rectangle: Rounded Corners 94" descr="Ctrl key">
            <a:extLst>
              <a:ext uri="{FF2B5EF4-FFF2-40B4-BE49-F238E27FC236}">
                <a16:creationId xmlns:a16="http://schemas.microsoft.com/office/drawing/2014/main" id="{00000000-0008-0000-0400-00005F000000}"/>
              </a:ext>
            </a:extLst>
          </xdr:cNvPr>
          <xdr:cNvSpPr/>
        </xdr:nvSpPr>
        <xdr:spPr>
          <a:xfrm>
            <a:off x="3005204"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96" name="Rectangle: Rounded Corners 95" descr="C key">
            <a:extLst>
              <a:ext uri="{FF2B5EF4-FFF2-40B4-BE49-F238E27FC236}">
                <a16:creationId xmlns:a16="http://schemas.microsoft.com/office/drawing/2014/main" id="{00000000-0008-0000-0400-000060000000}"/>
              </a:ext>
            </a:extLst>
          </xdr:cNvPr>
          <xdr:cNvSpPr/>
        </xdr:nvSpPr>
        <xdr:spPr>
          <a:xfrm>
            <a:off x="35147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C</a:t>
            </a:r>
          </a:p>
        </xdr:txBody>
      </xdr:sp>
      <xdr:sp macro="" textlink="">
        <xdr:nvSpPr>
          <xdr:cNvPr id="85" name="Step" descr="Click the yellow cell">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the yellow cell.</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87" name="Step" descr="On the Home tab, click the arrow under the Paste button">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Home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tab, click the arrow under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0" name="Step" descr="Click Paste Special, and then at the bottom, click the checkbox for Transpose. Click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Paste Special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and then at the bottom, click the checkbox for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Transpose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2</xdr:col>
      <xdr:colOff>9524</xdr:colOff>
      <xdr:row>29</xdr:row>
      <xdr:rowOff>9525</xdr:rowOff>
    </xdr:from>
    <xdr:to>
      <xdr:col>10</xdr:col>
      <xdr:colOff>252462</xdr:colOff>
      <xdr:row>34</xdr:row>
      <xdr:rowOff>7321</xdr:rowOff>
    </xdr:to>
    <xdr:grpSp>
      <xdr:nvGrpSpPr>
        <xdr:cNvPr id="10" name="Transpose data" descr="This data has 6 columns...&#10;...and 2 rows&#10;">
          <a:extLst>
            <a:ext uri="{FF2B5EF4-FFF2-40B4-BE49-F238E27FC236}">
              <a16:creationId xmlns:a16="http://schemas.microsoft.com/office/drawing/2014/main" id="{00000000-0008-0000-0400-00000A000000}"/>
            </a:ext>
          </a:extLst>
        </xdr:cNvPr>
        <xdr:cNvGrpSpPr/>
      </xdr:nvGrpSpPr>
      <xdr:grpSpPr>
        <a:xfrm>
          <a:off x="6562724" y="6105525"/>
          <a:ext cx="5119738" cy="950296"/>
          <a:chOff x="6381749" y="6524625"/>
          <a:chExt cx="4967338" cy="950296"/>
        </a:xfrm>
      </xdr:grpSpPr>
      <xdr:sp macro="" textlink="">
        <xdr:nvSpPr>
          <xdr:cNvPr id="97" name="Step" descr="...and 2 rows">
            <a:extLst>
              <a:ext uri="{FF2B5EF4-FFF2-40B4-BE49-F238E27FC236}">
                <a16:creationId xmlns:a16="http://schemas.microsoft.com/office/drawing/2014/main" id="{00000000-0008-0000-0400-000061000000}"/>
              </a:ext>
            </a:extLst>
          </xdr:cNvPr>
          <xdr:cNvSpPr txBox="1"/>
        </xdr:nvSpPr>
        <xdr:spPr>
          <a:xfrm>
            <a:off x="10125075"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2 rows.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8" name="Step" descr="This data has 6 columns...">
            <a:extLst>
              <a:ext uri="{FF2B5EF4-FFF2-40B4-BE49-F238E27FC236}">
                <a16:creationId xmlns:a16="http://schemas.microsoft.com/office/drawing/2014/main" id="{00000000-0008-0000-0400-000062000000}"/>
              </a:ext>
            </a:extLst>
          </xdr:cNvPr>
          <xdr:cNvSpPr txBox="1"/>
        </xdr:nvSpPr>
        <xdr:spPr>
          <a:xfrm>
            <a:off x="7410450" y="6524625"/>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This data has 6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00" name="Freeform: Shape 99" descr="Bracket line">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1" name="Freeform: Shape 100" descr="Bracket line">
            <a:extLst>
              <a:ext uri="{FF2B5EF4-FFF2-40B4-BE49-F238E27FC236}">
                <a16:creationId xmlns:a16="http://schemas.microsoft.com/office/drawing/2014/main" id="{00000000-0008-0000-0400-000065000000}"/>
              </a:ext>
            </a:extLst>
          </xdr:cNvPr>
          <xdr:cNvSpPr/>
        </xdr:nvSpPr>
        <xdr:spPr>
          <a:xfrm rot="5400000" flipH="1">
            <a:off x="9025149" y="6157836"/>
            <a:ext cx="183793" cy="159695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2" name="Arc 101" descr="Bracket line">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3" name="Arc 102" descr="Bracket line">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0" name="Freeform: Shape 109" descr="Bracket line">
            <a:extLst>
              <a:ext uri="{FF2B5EF4-FFF2-40B4-BE49-F238E27FC236}">
                <a16:creationId xmlns:a16="http://schemas.microsoft.com/office/drawing/2014/main" id="{00000000-0008-0000-0400-00006E000000}"/>
              </a:ext>
            </a:extLst>
          </xdr:cNvPr>
          <xdr:cNvSpPr/>
        </xdr:nvSpPr>
        <xdr:spPr>
          <a:xfrm rot="556052">
            <a:off x="9952519"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Freeform: Shape 110" descr="Bracket line">
            <a:extLst>
              <a:ext uri="{FF2B5EF4-FFF2-40B4-BE49-F238E27FC236}">
                <a16:creationId xmlns:a16="http://schemas.microsoft.com/office/drawing/2014/main" id="{00000000-0008-0000-0400-00006F000000}"/>
              </a:ext>
            </a:extLst>
          </xdr:cNvPr>
          <xdr:cNvSpPr/>
        </xdr:nvSpPr>
        <xdr:spPr>
          <a:xfrm rot="556052">
            <a:off x="10016374"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1</xdr:col>
      <xdr:colOff>5438774</xdr:colOff>
      <xdr:row>35</xdr:row>
      <xdr:rowOff>123825</xdr:rowOff>
    </xdr:from>
    <xdr:to>
      <xdr:col>6</xdr:col>
      <xdr:colOff>433437</xdr:colOff>
      <xdr:row>45</xdr:row>
      <xdr:rowOff>66675</xdr:rowOff>
    </xdr:to>
    <xdr:grpSp>
      <xdr:nvGrpSpPr>
        <xdr:cNvPr id="9" name="Transpose data selection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307454" y="7362825"/>
          <a:ext cx="3117583" cy="1847850"/>
          <a:chOff x="6286499" y="7781925"/>
          <a:chExt cx="2881363" cy="1847850"/>
        </a:xfrm>
      </xdr:grpSpPr>
      <xdr:sp macro="" textlink="">
        <xdr:nvSpPr>
          <xdr:cNvPr id="121" name="Step" descr="So select these 2 columns...">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So select these 2 columns...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23" name="Freeform: Shape 122" descr="Bracket line">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4" name="Freeform: Shape 123" descr="Bracket line">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5" name="Arc 124" descr="Bracket line">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6" name="Arc 125" descr="Bracket line">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27" name="Step" descr="...and these 6 rows before you type the formula">
            <a:extLst>
              <a:ext uri="{FF2B5EF4-FFF2-40B4-BE49-F238E27FC236}">
                <a16:creationId xmlns:a16="http://schemas.microsoft.com/office/drawing/2014/main" id="{00000000-0008-0000-0400-00007F000000}"/>
              </a:ext>
            </a:extLst>
          </xdr:cNvPr>
          <xdr:cNvSpPr txBox="1"/>
        </xdr:nvSpPr>
        <xdr:spPr>
          <a:xfrm>
            <a:off x="7943850" y="8858251"/>
            <a:ext cx="1224012" cy="714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...and these 6 rows </a:t>
            </a:r>
            <a:r>
              <a:rPr kumimoji="0" lang="en-US" sz="1100" b="0" i="1"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before</a:t>
            </a: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 you type the formula.</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32" name="Freeform: Shape 131" descr="Bracket line">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Freeform: Shape 132" descr="Bracket line">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5" name="Arc 134" descr="Bracket line">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26</xdr:row>
      <xdr:rowOff>0</xdr:rowOff>
    </xdr:from>
    <xdr:to>
      <xdr:col>1</xdr:col>
      <xdr:colOff>5238750</xdr:colOff>
      <xdr:row>52</xdr:row>
      <xdr:rowOff>19050</xdr:rowOff>
    </xdr:to>
    <xdr:grpSp>
      <xdr:nvGrpSpPr>
        <xdr:cNvPr id="8" name="Transpose with a formula"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716905" cy="4972050"/>
          <a:chOff x="390525" y="5943600"/>
          <a:chExt cx="5695950" cy="5029200"/>
        </a:xfrm>
      </xdr:grpSpPr>
      <xdr:sp macro="" textlink="">
        <xdr:nvSpPr>
          <xdr:cNvPr id="141" name="Rectangle 140" descr="Background">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ranspose with a formula">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Transpose with a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Straight Connector 143" descr="Decorative line">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Step" descr="Sometimes you don't want to copy and paste to transpose. In this case, you can use a formula to transpose rows and columns. Here's how to do that:">
            <a:extLst>
              <a:ext uri="{FF2B5EF4-FFF2-40B4-BE49-F238E27FC236}">
                <a16:creationId xmlns:a16="http://schemas.microsoft.com/office/drawing/2014/main" id="{00000000-0008-0000-0400-000091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Sometimes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don't want to copy and paste to transpose. In this case,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use a formula</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transpose rows and columns. Here's how to do that:</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46" name="Step" descr="To transpose this data, you need to select some blank cells first. Since the data on the right has 6 columns and 2 rows, you need to select the opposite: 2 columns and 6 rows. Do this by selecting the yellow cells">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To transpose this data, you need to select some blank cells first. Since the data on the right has 6 columns and 2 rows, you need to select the opposite: 2 columns and 6 rows. Do this by selecting the yellow cells.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8" name="Step"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976024"/>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This is kind of tricky, so pay close attention. With those cells </a:t>
            </a:r>
            <a:r>
              <a:rPr lang="en-US" sz="1100" i="1">
                <a:latin typeface="Segoe UI" panose="020B0502040204020203" pitchFamily="34" charset="0"/>
                <a:cs typeface="Segoe UI" panose="020B0502040204020203" pitchFamily="34" charset="0"/>
              </a:rPr>
              <a:t>still selected</a:t>
            </a:r>
            <a:r>
              <a:rPr lang="en-US" sz="1100">
                <a:latin typeface="Segoe UI" panose="020B0502040204020203" pitchFamily="34" charset="0"/>
                <a:cs typeface="Segoe UI" panose="020B0502040204020203" pitchFamily="34" charset="0"/>
              </a:rPr>
              <a:t>, type the following: </a:t>
            </a:r>
            <a:r>
              <a:rPr lang="en-US" sz="1100" b="1">
                <a:latin typeface="Segoe UI" panose="020B0502040204020203" pitchFamily="34" charset="0"/>
                <a:cs typeface="Segoe UI" panose="020B0502040204020203" pitchFamily="34" charset="0"/>
              </a:rPr>
              <a:t>=TRANSPOSE(C33:H34)  </a:t>
            </a:r>
            <a:r>
              <a:rPr lang="en-US" sz="1100" i="1">
                <a:latin typeface="Segoe UI" panose="020B0502040204020203" pitchFamily="34" charset="0"/>
                <a:cs typeface="Segoe UI" panose="020B0502040204020203" pitchFamily="34" charset="0"/>
              </a:rPr>
              <a:t>….but don’t press Enter</a:t>
            </a:r>
            <a:r>
              <a:rPr lang="en-US" sz="1100">
                <a:latin typeface="Segoe UI" panose="020B0502040204020203" pitchFamily="34" charset="0"/>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4" y="79335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0" name="Step" descr="Click another yellow cell. Look at the formula bar again. The formula is the same. Why? Because this is an array formula">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another yellow cell. Look at</a:t>
            </a:r>
            <a:r>
              <a:rPr lang="en-US" sz="1100" baseline="0">
                <a:latin typeface="Segoe UI" panose="020B0502040204020203" pitchFamily="34" charset="0"/>
                <a:cs typeface="Segoe UI" panose="020B0502040204020203" pitchFamily="34" charset="0"/>
              </a:rPr>
              <a:t> the formula bar again. </a:t>
            </a:r>
            <a:r>
              <a:rPr lang="en-US" sz="1100">
                <a:latin typeface="Segoe UI" panose="020B0502040204020203" pitchFamily="34" charset="0"/>
                <a:cs typeface="Segoe UI" panose="020B0502040204020203" pitchFamily="34" charset="0"/>
              </a:rPr>
              <a:t>The formula is the same. Why? Because this is an </a:t>
            </a:r>
            <a:r>
              <a:rPr lang="en-US" sz="1100" b="1">
                <a:latin typeface="Segoe UI" panose="020B0502040204020203" pitchFamily="34" charset="0"/>
                <a:cs typeface="Segoe UI" panose="020B0502040204020203" pitchFamily="34" charset="0"/>
              </a:rPr>
              <a:t>array formula</a:t>
            </a:r>
            <a:r>
              <a:rPr lang="en-US" sz="1100">
                <a:latin typeface="Segoe UI" panose="020B0502040204020203" pitchFamily="34" charset="0"/>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2" name="Step"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632587"/>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a:p>
            <a:r>
              <a:rPr lang="en-US" sz="1100">
                <a:latin typeface="Segoe UI" panose="020B0502040204020203" pitchFamily="34" charset="0"/>
                <a:cs typeface="Segoe UI" panose="020B0502040204020203" pitchFamily="34" charset="0"/>
              </a:rPr>
              <a:t>If you get #VALUE! as a result, try again starting at step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4" y="85900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54" name="Step"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303963"/>
            <a:ext cx="4809517" cy="86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any of the yellow cells to select just one. Look at the formula at the top of Excel. You’ll see that the formula looks like this:</a:t>
            </a:r>
          </a:p>
          <a:p>
            <a:endParaRPr lang="en-US" sz="1100">
              <a:latin typeface="Segoe UI" panose="020B0502040204020203" pitchFamily="34" charset="0"/>
              <a:cs typeface="Segoe UI" panose="020B0502040204020203" pitchFamily="34" charset="0"/>
            </a:endParaRPr>
          </a:p>
          <a:p>
            <a:r>
              <a:rPr lang="en-US" sz="1100" b="1">
                <a:latin typeface="Segoe UI" panose="020B0502040204020203" pitchFamily="34" charset="0"/>
                <a:cs typeface="Segoe UI" panose="020B0502040204020203" pitchFamily="34" charset="0"/>
              </a:rPr>
              <a:t>{=TRANSPOSE(C33:H34)}</a:t>
            </a:r>
            <a:br>
              <a:rPr lang="en-US" sz="1100">
                <a:latin typeface="Segoe UI" panose="020B0502040204020203" pitchFamily="34" charset="0"/>
                <a:cs typeface="Segoe UI" panose="020B0502040204020203" pitchFamily="34" charset="0"/>
              </a:rPr>
            </a:br>
            <a:endParaRPr lang="en-US" sz="1100">
              <a:latin typeface="Segoe UI" panose="020B0502040204020203" pitchFamily="34" charset="0"/>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4" y="926146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8" name="Rectangle: Rounded Corners 137" descr="Ctrl key">
            <a:extLst>
              <a:ext uri="{FF2B5EF4-FFF2-40B4-BE49-F238E27FC236}">
                <a16:creationId xmlns:a16="http://schemas.microsoft.com/office/drawing/2014/main" id="{00000000-0008-0000-0400-00008A000000}"/>
              </a:ext>
            </a:extLst>
          </xdr:cNvPr>
          <xdr:cNvSpPr/>
        </xdr:nvSpPr>
        <xdr:spPr>
          <a:xfrm>
            <a:off x="1490729" y="863599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p>
        </xdr:txBody>
      </xdr:sp>
      <xdr:sp macro="" textlink="">
        <xdr:nvSpPr>
          <xdr:cNvPr id="139" name="Rectangle: Rounded Corners 138" descr="Shift key">
            <a:extLst>
              <a:ext uri="{FF2B5EF4-FFF2-40B4-BE49-F238E27FC236}">
                <a16:creationId xmlns:a16="http://schemas.microsoft.com/office/drawing/2014/main" id="{00000000-0008-0000-0400-00008B000000}"/>
              </a:ext>
            </a:extLst>
          </xdr:cNvPr>
          <xdr:cNvSpPr/>
        </xdr:nvSpPr>
        <xdr:spPr>
          <a:xfrm>
            <a:off x="2035131" y="863599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Shift</a:t>
            </a:r>
          </a:p>
        </xdr:txBody>
      </xdr:sp>
      <xdr:sp macro="" textlink="">
        <xdr:nvSpPr>
          <xdr:cNvPr id="140" name="Rectangle: Rounded Corners 139" descr="Enter key">
            <a:extLst>
              <a:ext uri="{FF2B5EF4-FFF2-40B4-BE49-F238E27FC236}">
                <a16:creationId xmlns:a16="http://schemas.microsoft.com/office/drawing/2014/main" id="{00000000-0008-0000-0400-00008C000000}"/>
              </a:ext>
            </a:extLst>
          </xdr:cNvPr>
          <xdr:cNvSpPr/>
        </xdr:nvSpPr>
        <xdr:spPr>
          <a:xfrm>
            <a:off x="2587851" y="8635999"/>
            <a:ext cx="47046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5238750</xdr:colOff>
      <xdr:row>70</xdr:row>
      <xdr:rowOff>19049</xdr:rowOff>
    </xdr:to>
    <xdr:grpSp>
      <xdr:nvGrpSpPr>
        <xdr:cNvPr id="157" name="What's an array formula?"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0677524"/>
          <a:ext cx="5716905" cy="3248025"/>
          <a:chOff x="0" y="-9524"/>
          <a:chExt cx="5695950" cy="3105150"/>
        </a:xfrm>
      </xdr:grpSpPr>
      <xdr:sp macro="" textlink="">
        <xdr:nvSpPr>
          <xdr:cNvPr id="161" name="Rectangle 160" descr="Background">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2" name="Step" descr="What's an array formula?">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What's an array formula?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3" name="Straight Connector 162" descr="Decorative line">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Step"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 array formula can perform calculations on more than</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one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an array. In the example above, the array is the original data set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cells C33:H34. The TRANSPOSE function then switches the horizontal orientation of </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cells to a vertical orientation.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t>
            </a:r>
          </a:p>
        </xdr:txBody>
      </xdr:sp>
    </xdr:grpSp>
    <xdr:clientData/>
  </xdr:twoCellAnchor>
  <xdr:twoCellAnchor editAs="oneCell">
    <xdr:from>
      <xdr:col>2</xdr:col>
      <xdr:colOff>31749</xdr:colOff>
      <xdr:row>49</xdr:row>
      <xdr:rowOff>19049</xdr:rowOff>
    </xdr:from>
    <xdr:to>
      <xdr:col>8</xdr:col>
      <xdr:colOff>581025</xdr:colOff>
      <xdr:row>65</xdr:row>
      <xdr:rowOff>85724</xdr:rowOff>
    </xdr:to>
    <xdr:grpSp>
      <xdr:nvGrpSpPr>
        <xdr:cNvPr id="7" name="KEEP IN MIND…"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584949" y="9925049"/>
          <a:ext cx="4206876" cy="3114675"/>
          <a:chOff x="6403974" y="10344150"/>
          <a:chExt cx="3883026" cy="2819400"/>
        </a:xfrm>
      </xdr:grpSpPr>
      <xdr:sp macro="" textlink="">
        <xdr:nvSpPr>
          <xdr:cNvPr id="176" name="Step"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KEEP IN MIND…</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three things to keep in mind when using an array formula: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1) </a:t>
            </a:r>
            <a:r>
              <a:rPr lang="en-US" sz="1100" kern="0">
                <a:solidFill>
                  <a:schemeClr val="bg2">
                    <a:lumMod val="25000"/>
                  </a:schemeClr>
                </a:solidFill>
                <a:ea typeface="Segoe UI" pitchFamily="34" charset="0"/>
                <a:cs typeface="Segoe UI Light" panose="020B0502040204020203" pitchFamily="34" charset="0"/>
              </a:rPr>
              <a:t>Always select multiple cells first, and then with those cells selected, start typing the array formula. That's the key: Select multiple cells first, then start typing.</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2) </a:t>
            </a:r>
            <a:r>
              <a:rPr lang="en-US" sz="1100" kern="0">
                <a:solidFill>
                  <a:schemeClr val="bg2">
                    <a:lumMod val="25000"/>
                  </a:schemeClr>
                </a:solidFill>
                <a:ea typeface="Segoe UI" pitchFamily="34" charset="0"/>
                <a:cs typeface="Segoe UI Light" panose="020B0502040204020203" pitchFamily="34" charset="0"/>
              </a:rPr>
              <a:t>When you're done typing an array formula, press </a:t>
            </a:r>
            <a:br>
              <a:rPr lang="en-US" sz="1100" kern="0">
                <a:solidFill>
                  <a:schemeClr val="bg2">
                    <a:lumMod val="25000"/>
                  </a:schemeClr>
                </a:solidFill>
                <a:ea typeface="Segoe UI" pitchFamily="34" charset="0"/>
                <a:cs typeface="Segoe UI Light" panose="020B0502040204020203" pitchFamily="34" charset="0"/>
              </a:rPr>
            </a:br>
            <a:r>
              <a:rPr lang="en-US" sz="1100" kern="0">
                <a:solidFill>
                  <a:schemeClr val="bg2">
                    <a:lumMod val="25000"/>
                  </a:schemeClr>
                </a:solidFill>
                <a:ea typeface="Segoe UI" pitchFamily="34" charset="0"/>
                <a:cs typeface="Segoe UI Light" panose="020B0502040204020203" pitchFamily="34" charset="0"/>
              </a:rPr>
              <a:t>CTRL+SHIFT +ENTER.</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b="1" kern="0">
                <a:solidFill>
                  <a:schemeClr val="bg2">
                    <a:lumMod val="25000"/>
                  </a:schemeClr>
                </a:solidFill>
                <a:ea typeface="Segoe UI" pitchFamily="34" charset="0"/>
                <a:cs typeface="Segoe UI Light" panose="020B0502040204020203" pitchFamily="34" charset="0"/>
              </a:rPr>
              <a:t>3) </a:t>
            </a:r>
            <a:r>
              <a:rPr lang="en-US" sz="1100" kern="0">
                <a:solidFill>
                  <a:schemeClr val="bg2">
                    <a:lumMod val="25000"/>
                  </a:schemeClr>
                </a:solidFill>
                <a:ea typeface="Segoe UI" pitchFamily="34" charset="0"/>
                <a:cs typeface="Segoe UI Light" panose="020B0502040204020203" pitchFamily="34" charset="0"/>
              </a:rPr>
              <a:t>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a:t>
            </a:r>
          </a:p>
        </xdr:txBody>
      </xdr:sp>
      <xdr:pic>
        <xdr:nvPicPr>
          <xdr:cNvPr id="177" name="Graphic 131" descr="Head with Gear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66</xdr:row>
      <xdr:rowOff>28575</xdr:rowOff>
    </xdr:from>
    <xdr:to>
      <xdr:col>8</xdr:col>
      <xdr:colOff>266699</xdr:colOff>
      <xdr:row>71</xdr:row>
      <xdr:rowOff>24177</xdr:rowOff>
    </xdr:to>
    <xdr:grpSp>
      <xdr:nvGrpSpPr>
        <xdr:cNvPr id="6" name="EXCEL SPEAK" descr="EXCEL SPEAK: Because array formulas require CTRL+SHIFT+ENTER, some people informally call array formulas, &quot;CSE formulas">
          <a:extLst>
            <a:ext uri="{FF2B5EF4-FFF2-40B4-BE49-F238E27FC236}">
              <a16:creationId xmlns:a16="http://schemas.microsoft.com/office/drawing/2014/main" id="{00000000-0008-0000-0400-000006000000}"/>
            </a:ext>
          </a:extLst>
        </xdr:cNvPr>
        <xdr:cNvGrpSpPr/>
      </xdr:nvGrpSpPr>
      <xdr:grpSpPr>
        <a:xfrm>
          <a:off x="6629400" y="13173075"/>
          <a:ext cx="3848099" cy="948102"/>
          <a:chOff x="6448425" y="13201650"/>
          <a:chExt cx="3733799" cy="948102"/>
        </a:xfrm>
      </xdr:grpSpPr>
      <xdr:pic>
        <xdr:nvPicPr>
          <xdr:cNvPr id="188" name="Graphic 3" descr="Person">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Speech Bubble: Oval 188" descr="Quote">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87" name="Step"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EXCEL SPEAK</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Because array formulas require CTRL+SHIFT+ENTER, some people informally call array formulas, "CSE formulas." </a:t>
            </a:r>
          </a:p>
        </xdr:txBody>
      </xdr:sp>
    </xdr:grpSp>
    <xdr:clientData/>
  </xdr:twoCellAnchor>
  <xdr:twoCellAnchor editAs="oneCell">
    <xdr:from>
      <xdr:col>0</xdr:col>
      <xdr:colOff>390525</xdr:colOff>
      <xdr:row>70</xdr:row>
      <xdr:rowOff>171450</xdr:rowOff>
    </xdr:from>
    <xdr:to>
      <xdr:col>1</xdr:col>
      <xdr:colOff>5238750</xdr:colOff>
      <xdr:row>87</xdr:row>
      <xdr:rowOff>171450</xdr:rowOff>
    </xdr:to>
    <xdr:grpSp>
      <xdr:nvGrpSpPr>
        <xdr:cNvPr id="5" name="More On Web"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077950"/>
          <a:ext cx="5716905" cy="3238500"/>
          <a:chOff x="390525" y="14468475"/>
          <a:chExt cx="5695950" cy="3267075"/>
        </a:xfrm>
      </xdr:grpSpPr>
      <xdr:sp macro="" textlink="">
        <xdr:nvSpPr>
          <xdr:cNvPr id="191" name="Rectangle 190" descr="Background">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92" name="Step" descr="More information on the web">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93" name="Straight Connector 192" descr="Decorative line">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95" name="Straight Connector 194" descr="Decorative line">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97" name="Step" descr="Transpose (rotate) data from rows to columns or vice versa, hyperlinked to web">
            <a:hlinkClick xmlns:r="http://schemas.openxmlformats.org/officeDocument/2006/relationships" r:id="rId8" tooltip="Select to learn about Transpose (rotate) data from rows to columns or vice versa from the web"/>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Transpose (rotate) data from rows to columns or vice versa</a:t>
            </a:r>
          </a:p>
        </xdr:txBody>
      </xdr:sp>
      <xdr:pic>
        <xdr:nvPicPr>
          <xdr:cNvPr id="198"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Step" descr="All about the TRANPOSE function, hyperlinked to web">
            <a:hlinkClick xmlns:r="http://schemas.openxmlformats.org/officeDocument/2006/relationships" r:id="rId11" tooltip="Select to learn all about the TRANSPOSE function from the web"/>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TRANSPOSE function</a:t>
            </a:r>
          </a:p>
        </xdr:txBody>
      </xdr:sp>
      <xdr:pic>
        <xdr:nvPicPr>
          <xdr:cNvPr id="200"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Step" descr="Create an array formula, hyperlinked to web">
            <a:hlinkClick xmlns:r="http://schemas.openxmlformats.org/officeDocument/2006/relationships" r:id="rId12" tooltip="Select to learn about creating an array formula from the web"/>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an array formula</a:t>
            </a:r>
          </a:p>
        </xdr:txBody>
      </xdr:sp>
      <xdr:pic>
        <xdr:nvPicPr>
          <xdr:cNvPr id="20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3895725</xdr:colOff>
      <xdr:row>8</xdr:row>
      <xdr:rowOff>180975</xdr:rowOff>
    </xdr:from>
    <xdr:to>
      <xdr:col>1</xdr:col>
      <xdr:colOff>4440698</xdr:colOff>
      <xdr:row>12</xdr:row>
      <xdr:rowOff>85642</xdr:rowOff>
    </xdr:to>
    <xdr:grpSp>
      <xdr:nvGrpSpPr>
        <xdr:cNvPr id="3" name="Paste button" descr="Paste button and Arrow">
          <a:extLst>
            <a:ext uri="{FF2B5EF4-FFF2-40B4-BE49-F238E27FC236}">
              <a16:creationId xmlns:a16="http://schemas.microsoft.com/office/drawing/2014/main" id="{00000000-0008-0000-0400-000003000000}"/>
            </a:ext>
          </a:extLst>
        </xdr:cNvPr>
        <xdr:cNvGrpSpPr/>
      </xdr:nvGrpSpPr>
      <xdr:grpSpPr>
        <a:xfrm>
          <a:off x="4764405" y="2276475"/>
          <a:ext cx="544973" cy="666667"/>
          <a:chOff x="4838700" y="2324100"/>
          <a:chExt cx="544973" cy="666667"/>
        </a:xfrm>
      </xdr:grpSpPr>
      <xdr:pic>
        <xdr:nvPicPr>
          <xdr:cNvPr id="2" name="Picture 1" descr="Paste butto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tretch>
            <a:fillRect/>
          </a:stretch>
        </xdr:blipFill>
        <xdr:spPr>
          <a:xfrm>
            <a:off x="4838700" y="2324100"/>
            <a:ext cx="409524" cy="666667"/>
          </a:xfrm>
          <a:prstGeom prst="rect">
            <a:avLst/>
          </a:prstGeom>
          <a:ln>
            <a:solidFill>
              <a:schemeClr val="bg1">
                <a:lumMod val="75000"/>
              </a:schemeClr>
            </a:solidFill>
          </a:ln>
        </xdr:spPr>
      </xdr:pic>
      <xdr:sp macro="" textlink="">
        <xdr:nvSpPr>
          <xdr:cNvPr id="104" name="Arc 103" descr="Arrow">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oneCell">
    <xdr:from>
      <xdr:col>5</xdr:col>
      <xdr:colOff>304800</xdr:colOff>
      <xdr:row>7</xdr:row>
      <xdr:rowOff>142875</xdr:rowOff>
    </xdr:from>
    <xdr:to>
      <xdr:col>8</xdr:col>
      <xdr:colOff>114300</xdr:colOff>
      <xdr:row>12</xdr:row>
      <xdr:rowOff>138477</xdr:rowOff>
    </xdr:to>
    <xdr:grpSp>
      <xdr:nvGrpSpPr>
        <xdr:cNvPr id="4" name="EXPERT TIP" descr="EXPERT TIP: The shortcut key for Paste Special is CTRL+ALT+V">
          <a:extLst>
            <a:ext uri="{FF2B5EF4-FFF2-40B4-BE49-F238E27FC236}">
              <a16:creationId xmlns:a16="http://schemas.microsoft.com/office/drawing/2014/main" id="{00000000-0008-0000-0400-000004000000}"/>
            </a:ext>
          </a:extLst>
        </xdr:cNvPr>
        <xdr:cNvGrpSpPr/>
      </xdr:nvGrpSpPr>
      <xdr:grpSpPr>
        <a:xfrm>
          <a:off x="8686800" y="2047875"/>
          <a:ext cx="1638300" cy="948102"/>
          <a:chOff x="8448675" y="2143125"/>
          <a:chExt cx="1581150" cy="948102"/>
        </a:xfrm>
      </xdr:grpSpPr>
      <xdr:pic>
        <xdr:nvPicPr>
          <xdr:cNvPr id="107" name="Graphic 2" descr="Owl">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Step" descr="EXPERT TIP&#10;The shortcut key for Paste Special is CTRL+ALT+V">
            <a:extLst>
              <a:ext uri="{FF2B5EF4-FFF2-40B4-BE49-F238E27FC236}">
                <a16:creationId xmlns:a16="http://schemas.microsoft.com/office/drawing/2014/main" id="{00000000-0008-0000-0400-00006C000000}"/>
              </a:ext>
            </a:extLst>
          </xdr:cNvPr>
          <xdr:cNvSpPr txBox="1"/>
        </xdr:nvSpPr>
        <xdr:spPr>
          <a:xfrm>
            <a:off x="8782052" y="2143125"/>
            <a:ext cx="1247773"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 shortcut key for Paste Special is CTRL+ALT+V.</a:t>
            </a:r>
            <a:r>
              <a:rPr lang="en-US" sz="1100" kern="0" baseline="0">
                <a:solidFill>
                  <a:schemeClr val="bg2">
                    <a:lumMod val="25000"/>
                  </a:schemeClr>
                </a:solidFill>
                <a:ea typeface="Segoe UI" pitchFamily="34" charset="0"/>
                <a:cs typeface="Segoe UI Light" panose="020B0502040204020203" pitchFamily="34" charset="0"/>
              </a:rPr>
              <a:t> </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209549</xdr:rowOff>
    </xdr:from>
    <xdr:to>
      <xdr:col>7</xdr:col>
      <xdr:colOff>57150</xdr:colOff>
      <xdr:row>22</xdr:row>
      <xdr:rowOff>38100</xdr:rowOff>
    </xdr:to>
    <xdr:grpSp>
      <xdr:nvGrpSpPr>
        <xdr:cNvPr id="6" name="EXTRA CREDIT" descr="EXTRA CREDIT: 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06000000}"/>
            </a:ext>
          </a:extLst>
        </xdr:cNvPr>
        <xdr:cNvGrpSpPr/>
      </xdr:nvGrpSpPr>
      <xdr:grpSpPr>
        <a:xfrm>
          <a:off x="6553200" y="3242309"/>
          <a:ext cx="3912870" cy="1558291"/>
          <a:chOff x="7248525" y="3467099"/>
          <a:chExt cx="3800475" cy="1362075"/>
        </a:xfrm>
      </xdr:grpSpPr>
      <xdr:sp macro="" textlink="">
        <xdr:nvSpPr>
          <xdr:cNvPr id="40" name="Step"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6" y="3467099"/>
            <a:ext cx="3440894"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you're done with step 5,</a:t>
            </a:r>
            <a:r>
              <a:rPr lang="en-US" sz="1100" kern="0" baseline="0">
                <a:solidFill>
                  <a:schemeClr val="bg2">
                    <a:lumMod val="25000"/>
                  </a:schemeClr>
                </a:solidFill>
                <a:ea typeface="Segoe UI" pitchFamily="34" charset="0"/>
                <a:cs typeface="Segoe UI Light" panose="020B0502040204020203" pitchFamily="34" charset="0"/>
              </a:rPr>
              <a:t> try sorting alphabetically by two columns. Here's how: First sort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alphabetically (that's step 1 on the left). Then click </a:t>
            </a:r>
            <a:r>
              <a:rPr lang="en-US" sz="1100" b="1" kern="0" baseline="0">
                <a:solidFill>
                  <a:schemeClr val="bg2">
                    <a:lumMod val="25000"/>
                  </a:schemeClr>
                </a:solidFill>
                <a:ea typeface="Segoe UI" pitchFamily="34" charset="0"/>
                <a:cs typeface="Segoe UI Light" panose="020B0502040204020203" pitchFamily="34" charset="0"/>
              </a:rPr>
              <a:t>Home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Sort &amp; Filter </a:t>
            </a:r>
            <a:r>
              <a:rPr lang="en-US" sz="1100" kern="0" baseline="0">
                <a:solidFill>
                  <a:schemeClr val="bg2">
                    <a:lumMod val="25000"/>
                  </a:schemeClr>
                </a:solidFill>
                <a:ea typeface="Segoe UI" pitchFamily="34" charset="0"/>
                <a:cs typeface="Segoe UI Light" panose="020B0502040204020203" pitchFamily="34" charset="0"/>
              </a:rPr>
              <a:t>&gt; </a:t>
            </a:r>
            <a:r>
              <a:rPr lang="en-US" sz="1100" b="1" kern="0" baseline="0">
                <a:solidFill>
                  <a:schemeClr val="bg2">
                    <a:lumMod val="25000"/>
                  </a:schemeClr>
                </a:solidFill>
                <a:ea typeface="Segoe UI" pitchFamily="34" charset="0"/>
                <a:cs typeface="Segoe UI Light" panose="020B0502040204020203" pitchFamily="34" charset="0"/>
              </a:rPr>
              <a:t>Custom Sort</a:t>
            </a:r>
            <a:r>
              <a:rPr lang="en-US" sz="1100" kern="0" baseline="0">
                <a:solidFill>
                  <a:schemeClr val="bg2">
                    <a:lumMod val="25000"/>
                  </a:schemeClr>
                </a:solidFill>
                <a:ea typeface="Segoe UI" pitchFamily="34" charset="0"/>
                <a:cs typeface="Segoe UI Light" panose="020B0502040204020203" pitchFamily="34" charset="0"/>
              </a:rPr>
              <a:t>. Add a second level for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After you click OK, </a:t>
            </a:r>
            <a:r>
              <a:rPr lang="en-US" sz="1100" b="1" kern="0" baseline="0">
                <a:solidFill>
                  <a:schemeClr val="bg2">
                    <a:lumMod val="25000"/>
                  </a:schemeClr>
                </a:solidFill>
                <a:ea typeface="Segoe UI" pitchFamily="34" charset="0"/>
                <a:cs typeface="Segoe UI Light" panose="020B0502040204020203" pitchFamily="34" charset="0"/>
              </a:rPr>
              <a:t>Department</a:t>
            </a:r>
            <a:r>
              <a:rPr lang="en-US" sz="1100" kern="0" baseline="0">
                <a:solidFill>
                  <a:schemeClr val="bg2">
                    <a:lumMod val="25000"/>
                  </a:schemeClr>
                </a:solidFill>
                <a:ea typeface="Segoe UI" pitchFamily="34" charset="0"/>
                <a:cs typeface="Segoe UI Light" panose="020B0502040204020203" pitchFamily="34" charset="0"/>
              </a:rPr>
              <a:t> will be sorted, and within each department, </a:t>
            </a:r>
            <a:r>
              <a:rPr lang="en-US" sz="1100" b="1" kern="0" baseline="0">
                <a:solidFill>
                  <a:schemeClr val="bg2">
                    <a:lumMod val="25000"/>
                  </a:schemeClr>
                </a:solidFill>
                <a:ea typeface="Segoe UI" pitchFamily="34" charset="0"/>
                <a:cs typeface="Segoe UI Light" panose="020B0502040204020203" pitchFamily="34" charset="0"/>
              </a:rPr>
              <a:t>Category</a:t>
            </a:r>
            <a:r>
              <a:rPr lang="en-US" sz="1100" kern="0" baseline="0">
                <a:solidFill>
                  <a:schemeClr val="bg2">
                    <a:lumMod val="25000"/>
                  </a:schemeClr>
                </a:solidFill>
                <a:ea typeface="Segoe UI" pitchFamily="34" charset="0"/>
                <a:cs typeface="Segoe UI Light" panose="020B0502040204020203" pitchFamily="34" charset="0"/>
              </a:rPr>
              <a:t> rows will be sorted in alphabetical order as well.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5" name="Sort and filter with ease"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3375" y="266700"/>
          <a:ext cx="5716905" cy="4619625"/>
          <a:chOff x="333375" y="266700"/>
          <a:chExt cx="5695950" cy="4619625"/>
        </a:xfrm>
      </xdr:grpSpPr>
      <xdr:sp macro="" textlink="">
        <xdr:nvSpPr>
          <xdr:cNvPr id="78" name="Rectangle 77" descr="Background">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Sort and filter with eas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Sort and filter with ease</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Let's say you want the departments in alphabetical order. Click in the Department column, and then click Home &gt; Sort &amp; Filter &gt; Sort A to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the departments in alphabetical order. Click in the Department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 to Z</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Sort December's amounts from largest to smallest. Click any cell in the Dec column, and then click Home &gt; Sort &amp; Filter &gt; Sort Largest to Smallest">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December's amounts from largest to smallest. Click any cell in the Dec column,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Largest to Smallest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you'll filter the data so that only the Bakery rows appear. Press CTRL+A to select all of the cells, and then click Home &gt; Sort &amp; Filter &gt; Filter&#10;">
            <a:extLst>
              <a:ext uri="{FF2B5EF4-FFF2-40B4-BE49-F238E27FC236}">
                <a16:creationId xmlns:a16="http://schemas.microsoft.com/office/drawing/2014/main" id="{00000000-0008-0000-0500-000058000000}"/>
              </a:ext>
            </a:extLst>
          </xdr:cNvPr>
          <xdr:cNvSpPr txBox="1"/>
        </xdr:nvSpPr>
        <xdr:spPr>
          <a:xfrm>
            <a:off x="972158" y="208313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filter the data so that only the Bakery rows appear. Press CTRL+A to select all</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the cells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Home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&amp; Filter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Filter buttons appear on the top row. On the Department cell, click the filter button and then click to clear the Select All checkbox. Then, click to select Bakery">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buttons appear on the top row. 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 click the filter button        and then click to clear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Select All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checkbox. Then, click to select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Click OK and only the Bakery rows appear. Now clear the filter by clicking the filter button for Department and then click Clear filter...">
            <a:extLst>
              <a:ext uri="{FF2B5EF4-FFF2-40B4-BE49-F238E27FC236}">
                <a16:creationId xmlns:a16="http://schemas.microsoft.com/office/drawing/2014/main" id="{00000000-0008-0000-0500-00005C000000}"/>
              </a:ext>
            </a:extLst>
          </xdr:cNvPr>
          <xdr:cNvSpPr txBox="1"/>
        </xdr:nvSpPr>
        <xdr:spPr>
          <a:xfrm>
            <a:off x="972158" y="323975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only the Bakery rows appear. Now clear the filter by clicking the filter button       for Department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 filter...</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94" name="Picture 93" descr="Filter button">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1537177" y="2814385"/>
            <a:ext cx="140102" cy="138072"/>
          </a:xfrm>
          <a:prstGeom prst="rect">
            <a:avLst/>
          </a:prstGeom>
        </xdr:spPr>
      </xdr:pic>
      <xdr:pic>
        <xdr:nvPicPr>
          <xdr:cNvPr id="95" name="Picture 94" descr="Filter button">
            <a:extLst>
              <a:ext uri="{FF2B5EF4-FFF2-40B4-BE49-F238E27FC236}">
                <a16:creationId xmlns:a16="http://schemas.microsoft.com/office/drawing/2014/main" id="{00000000-0008-0000-0500-00005F000000}"/>
              </a:ext>
            </a:extLst>
          </xdr:cNvPr>
          <xdr:cNvPicPr>
            <a:picLocks noChangeAspect="1"/>
          </xdr:cNvPicPr>
        </xdr:nvPicPr>
        <xdr:blipFill rotWithShape="1">
          <a:blip xmlns:r="http://schemas.openxmlformats.org/officeDocument/2006/relationships" r:embed="rId5"/>
          <a:srcRect l="16000" t="17242" r="15000" b="24137"/>
          <a:stretch/>
        </xdr:blipFill>
        <xdr:spPr>
          <a:xfrm>
            <a:off x="1832452" y="3481135"/>
            <a:ext cx="140102" cy="138072"/>
          </a:xfrm>
          <a:prstGeom prst="rect">
            <a:avLst/>
          </a:prstGeom>
        </xdr:spPr>
      </xdr:pic>
    </xdr:grpSp>
    <xdr:clientData/>
  </xdr:twoCellAnchor>
  <xdr:twoCellAnchor editAs="oneCell">
    <xdr:from>
      <xdr:col>0</xdr:col>
      <xdr:colOff>390525</xdr:colOff>
      <xdr:row>25</xdr:row>
      <xdr:rowOff>180975</xdr:rowOff>
    </xdr:from>
    <xdr:to>
      <xdr:col>1</xdr:col>
      <xdr:colOff>5238750</xdr:colOff>
      <xdr:row>40</xdr:row>
      <xdr:rowOff>161924</xdr:rowOff>
    </xdr:to>
    <xdr:grpSp>
      <xdr:nvGrpSpPr>
        <xdr:cNvPr id="106" name="Sort by date, or by color even"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0525" y="5514975"/>
          <a:ext cx="5716905" cy="2838449"/>
          <a:chOff x="0" y="-9524"/>
          <a:chExt cx="5695950" cy="2838449"/>
        </a:xfrm>
      </xdr:grpSpPr>
      <xdr:sp macro="" textlink="">
        <xdr:nvSpPr>
          <xdr:cNvPr id="107" name="Rectangle 106" descr="Background">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8" name="Step" descr="Sort by date, or by color even">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Sort by date, or by color even</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9" name="Straight Connector 108" descr="Decorative line">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Straight Connector 109" descr="Decorative line">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Step" descr="There are many ways to sort in Excel. Here are just two more ways to sort, but this time you'll use the right-click menu:">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There are many ways to sort in Excel. Here are just two more ways to sort, but this time you'll use the right-click menu:</a:t>
            </a:r>
          </a:p>
        </xdr:txBody>
      </xdr:sp>
      <xdr:sp macro="" textlink="">
        <xdr:nvSpPr>
          <xdr:cNvPr id="112" name="Step"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2021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You want the dates in order. So, right-click a date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Sort Oldest to Newest</a:t>
            </a:r>
            <a:r>
              <a:rPr lang="en-US" sz="1050">
                <a:latin typeface="Segoe UI" panose="020B0502040204020203" pitchFamily="34" charset="0"/>
                <a:cs typeface="Segoe UI" panose="020B0502040204020203" pitchFamily="34" charset="0"/>
              </a:rPr>
              <a:t>. The rows get sorted in ascending date order by the Expense date.</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4" name="Step" descr="Someone filled three cells with yellow. You can sort the rows by that color. Right-click a yellow cell, and then click Sort &gt; Put Selected Cell Color on Top">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Someone filled three cells with yellow. You can sort the rows by that color. Right-click a yellow cell, and then click </a:t>
            </a:r>
            <a:r>
              <a:rPr lang="en-US" sz="1050" b="1">
                <a:latin typeface="Segoe UI" panose="020B0502040204020203" pitchFamily="34" charset="0"/>
                <a:cs typeface="Segoe UI" panose="020B0502040204020203" pitchFamily="34" charset="0"/>
              </a:rPr>
              <a:t>Sort</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Put Selected Cell Color </a:t>
            </a:r>
            <a:br>
              <a:rPr lang="en-US" sz="1050" b="1">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on Top</a:t>
            </a:r>
            <a:r>
              <a:rPr lang="en-US" sz="1050">
                <a:latin typeface="Segoe UI" panose="020B0502040204020203" pitchFamily="34" charset="0"/>
                <a:cs typeface="Segoe UI" panose="020B0502040204020203" pitchFamily="34" charset="0"/>
              </a:rPr>
              <a:t>. </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9</xdr:col>
      <xdr:colOff>504824</xdr:colOff>
      <xdr:row>38</xdr:row>
      <xdr:rowOff>19050</xdr:rowOff>
    </xdr:to>
    <xdr:grpSp>
      <xdr:nvGrpSpPr>
        <xdr:cNvPr id="8" name="Group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9928860" y="6210299"/>
          <a:ext cx="2204084" cy="1619251"/>
          <a:chOff x="10582275" y="6629399"/>
          <a:chExt cx="2143124" cy="1619251"/>
        </a:xfrm>
      </xdr:grpSpPr>
      <xdr:pic>
        <xdr:nvPicPr>
          <xdr:cNvPr id="117" name="Graphic 122" descr="Magnifying glass">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H="1">
            <a:off x="10582275" y="6674825"/>
            <a:ext cx="352313" cy="352311"/>
          </a:xfrm>
          <a:prstGeom prst="rect">
            <a:avLst/>
          </a:prstGeom>
        </xdr:spPr>
      </xdr:pic>
      <xdr:sp macro="" textlink="">
        <xdr:nvSpPr>
          <xdr:cNvPr id="118" name="Step"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You can't clear a sort order like you can a filter. So if you don't want your sort to stick, undo it by</a:t>
            </a:r>
            <a:r>
              <a:rPr lang="en-US" sz="1100" kern="0" baseline="0">
                <a:solidFill>
                  <a:schemeClr val="bg2">
                    <a:lumMod val="25000"/>
                  </a:schemeClr>
                </a:solidFill>
                <a:ea typeface="Segoe UI" pitchFamily="34" charset="0"/>
                <a:cs typeface="Segoe UI Light" panose="020B0502040204020203" pitchFamily="34" charset="0"/>
              </a:rPr>
              <a:t> pressing CTRL+Z.</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5238750</xdr:colOff>
      <xdr:row>58</xdr:row>
      <xdr:rowOff>28575</xdr:rowOff>
    </xdr:to>
    <xdr:grpSp>
      <xdr:nvGrpSpPr>
        <xdr:cNvPr id="3" name="More ways to filter data"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0525" y="8553450"/>
          <a:ext cx="5716905" cy="3095625"/>
          <a:chOff x="390525" y="8972550"/>
          <a:chExt cx="5695950" cy="3171824"/>
        </a:xfrm>
      </xdr:grpSpPr>
      <xdr:sp macro="" textlink="">
        <xdr:nvSpPr>
          <xdr:cNvPr id="133" name="Rectangle 132" descr="Background">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ways to filter data">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ways to filter data</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Straight Connector 135" descr="Decorative line">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Step" descr="Many people type formulas to find amounts that are above average, or greater than a certain amount. But there's no need to type formulas when special filters are available">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Many people type formulas to find amounts that are above average, or greater than a certain amount. But there's no need to type formulas when special filters are available.</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38" name="Step"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184270"/>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a:t>
            </a:r>
            <a:r>
              <a:rPr lang="en-US" sz="1050" b="1">
                <a:latin typeface="Segoe UI" panose="020B0502040204020203" pitchFamily="34" charset="0"/>
                <a:cs typeface="Segoe UI" panose="020B0502040204020203" pitchFamily="34" charset="0"/>
              </a:rPr>
              <a:t>Hotel</a:t>
            </a:r>
            <a:r>
              <a:rPr lang="en-US" sz="1050">
                <a:latin typeface="Segoe UI" panose="020B0502040204020203" pitchFamily="34" charset="0"/>
                <a:cs typeface="Segoe UI" panose="020B0502040204020203" pitchFamily="34" charset="0"/>
              </a:rPr>
              <a:t> cell, click the filter button        and then click </a:t>
            </a:r>
            <a:br>
              <a:rPr lang="en-US" sz="1050">
                <a:latin typeface="Segoe UI" panose="020B0502040204020203" pitchFamily="34" charset="0"/>
                <a:cs typeface="Segoe UI" panose="020B0502040204020203" pitchFamily="34" charset="0"/>
              </a:rPr>
            </a:br>
            <a:r>
              <a:rPr lang="en-US" sz="1050" b="1">
                <a:latin typeface="Segoe UI" panose="020B0502040204020203" pitchFamily="34" charset="0"/>
                <a:cs typeface="Segoe UI" panose="020B0502040204020203" pitchFamily="34" charset="0"/>
              </a:rPr>
              <a:t>Number Filters</a:t>
            </a:r>
            <a:r>
              <a:rPr lang="en-US" sz="1050">
                <a:latin typeface="Segoe UI" panose="020B0502040204020203" pitchFamily="34" charset="0"/>
                <a:cs typeface="Segoe UI" panose="020B0502040204020203" pitchFamily="34" charset="0"/>
              </a:rPr>
              <a:t> &gt; </a:t>
            </a:r>
            <a:r>
              <a:rPr lang="en-US" sz="1050" b="1">
                <a:latin typeface="Segoe UI" panose="020B0502040204020203" pitchFamily="34" charset="0"/>
                <a:cs typeface="Segoe UI" panose="020B0502040204020203" pitchFamily="34" charset="0"/>
              </a:rPr>
              <a:t>Above Average</a:t>
            </a:r>
            <a:r>
              <a:rPr lang="en-US" sz="1050">
                <a:latin typeface="Segoe UI" panose="020B0502040204020203" pitchFamily="34" charset="0"/>
                <a:cs typeface="Segoe UI" panose="020B0502040204020203" pitchFamily="34" charset="0"/>
              </a:rPr>
              <a:t>. Excel calculates the average amount of the Hotel column, and then shows only rows with amounts greater than that average.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14177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0" name="Step"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1005772"/>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Now add a second filter. On the </a:t>
            </a:r>
            <a:r>
              <a:rPr lang="en-US" sz="1050" b="1">
                <a:latin typeface="Segoe UI" panose="020B0502040204020203" pitchFamily="34" charset="0"/>
                <a:cs typeface="Segoe UI" panose="020B0502040204020203" pitchFamily="34" charset="0"/>
              </a:rPr>
              <a:t>Food</a:t>
            </a:r>
            <a:r>
              <a:rPr lang="en-US" sz="1050">
                <a:latin typeface="Segoe UI" panose="020B0502040204020203" pitchFamily="34" charset="0"/>
                <a:cs typeface="Segoe UI" panose="020B0502040204020203" pitchFamily="34" charset="0"/>
              </a:rPr>
              <a:t> cell, click the filter button      and then click </a:t>
            </a:r>
            <a:r>
              <a:rPr lang="en-US" sz="1050" b="1">
                <a:latin typeface="Segoe UI" panose="020B0502040204020203" pitchFamily="34" charset="0"/>
                <a:cs typeface="Segoe UI" panose="020B0502040204020203" pitchFamily="34" charset="0"/>
              </a:rPr>
              <a:t>Number Filters </a:t>
            </a:r>
            <a:r>
              <a:rPr lang="en-US" sz="1050">
                <a:latin typeface="Segoe UI" panose="020B0502040204020203" pitchFamily="34" charset="0"/>
                <a:cs typeface="Segoe UI" panose="020B0502040204020203" pitchFamily="34" charset="0"/>
              </a:rPr>
              <a:t>&gt; </a:t>
            </a:r>
            <a:r>
              <a:rPr lang="en-US" sz="1050" b="1">
                <a:latin typeface="Segoe UI" panose="020B0502040204020203" pitchFamily="34" charset="0"/>
                <a:cs typeface="Segoe UI" panose="020B0502040204020203" pitchFamily="34" charset="0"/>
              </a:rPr>
              <a:t>Greater than...</a:t>
            </a:r>
            <a:r>
              <a:rPr lang="en-US" sz="1050">
                <a:latin typeface="Segoe UI" panose="020B0502040204020203" pitchFamily="34" charset="0"/>
                <a:cs typeface="Segoe UI" panose="020B0502040204020203" pitchFamily="34" charset="0"/>
              </a:rPr>
              <a:t>, and then type </a:t>
            </a:r>
            <a:r>
              <a:rPr lang="en-US" sz="1050" b="1">
                <a:latin typeface="Segoe UI" panose="020B0502040204020203" pitchFamily="34" charset="0"/>
                <a:cs typeface="Segoe UI" panose="020B0502040204020203" pitchFamily="34" charset="0"/>
              </a:rPr>
              <a:t>25</a:t>
            </a:r>
            <a:r>
              <a:rPr lang="en-US" sz="1050">
                <a:latin typeface="Segoe UI" panose="020B0502040204020203" pitchFamily="34" charset="0"/>
                <a:cs typeface="Segoe UI" panose="020B0502040204020203" pitchFamily="34" charset="0"/>
              </a:rPr>
              <a:t>.</a:t>
            </a:r>
            <a:r>
              <a:rPr lang="en-US" sz="1050" b="1">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Click </a:t>
            </a:r>
            <a:r>
              <a:rPr lang="en-US" sz="1050" b="1">
                <a:latin typeface="Segoe UI" panose="020B0502040204020203" pitchFamily="34" charset="0"/>
                <a:cs typeface="Segoe UI" panose="020B0502040204020203" pitchFamily="34" charset="0"/>
              </a:rPr>
              <a:t>OK</a:t>
            </a:r>
            <a:r>
              <a:rPr lang="en-US" sz="1050">
                <a:latin typeface="Segoe UI" panose="020B0502040204020203" pitchFamily="34" charset="0"/>
                <a:cs typeface="Segoe UI" panose="020B0502040204020203" pitchFamily="34" charset="0"/>
              </a:rPr>
              <a:t>.</a:t>
            </a:r>
            <a:br>
              <a:rPr lang="en-US" sz="1050">
                <a:latin typeface="Segoe UI" panose="020B0502040204020203" pitchFamily="34" charset="0"/>
                <a:cs typeface="Segoe UI" panose="020B0502040204020203" pitchFamily="34" charset="0"/>
              </a:rPr>
            </a:br>
            <a:r>
              <a:rPr lang="en-US" sz="1050">
                <a:latin typeface="Segoe UI" panose="020B0502040204020203" pitchFamily="34" charset="0"/>
                <a:cs typeface="Segoe UI" panose="020B0502040204020203" pitchFamily="34" charset="0"/>
              </a:rPr>
              <a:t>Of the three rows that were filtered for above average, Excel shows two rows with Food amounts greater than 25.</a:t>
            </a: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09632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pic>
        <xdr:nvPicPr>
          <xdr:cNvPr id="131" name="Picture 130" descr="Filter button">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491076" y="10239196"/>
            <a:ext cx="140102" cy="138072"/>
          </a:xfrm>
          <a:prstGeom prst="rect">
            <a:avLst/>
          </a:prstGeom>
        </xdr:spPr>
      </xdr:pic>
      <xdr:pic>
        <xdr:nvPicPr>
          <xdr:cNvPr id="132" name="Picture 131" descr="Filter button">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905553" y="11059349"/>
            <a:ext cx="140102" cy="138072"/>
          </a:xfrm>
          <a:prstGeom prst="rect">
            <a:avLst/>
          </a:prstGeom>
        </xdr:spPr>
      </xdr:pic>
    </xdr:grpSp>
    <xdr:clientData/>
  </xdr:twoCellAnchor>
  <xdr:twoCellAnchor editAs="absolute">
    <xdr:from>
      <xdr:col>0</xdr:col>
      <xdr:colOff>389826</xdr:colOff>
      <xdr:row>58</xdr:row>
      <xdr:rowOff>161925</xdr:rowOff>
    </xdr:from>
    <xdr:to>
      <xdr:col>1</xdr:col>
      <xdr:colOff>5238051</xdr:colOff>
      <xdr:row>74</xdr:row>
      <xdr:rowOff>71399</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89826" y="11782425"/>
          <a:ext cx="5716905" cy="2957474"/>
          <a:chOff x="389826" y="12352299"/>
          <a:chExt cx="5695950" cy="2806700"/>
        </a:xfrm>
      </xdr:grpSpPr>
      <xdr:sp macro="" textlink="">
        <xdr:nvSpPr>
          <xdr:cNvPr id="143" name="Rectangle 142" descr="Background">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4" name="Step" descr="More information on the web">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5" name="Straight Connector 144" descr="Decorative line">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Next Button" descr="Back to top, hyperlinked to cell A1">
            <a:hlinkClick xmlns:r="http://schemas.openxmlformats.org/officeDocument/2006/relationships" r:id="rId8" tooltip="Select to go back to cell A1 in this worksheet"/>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7" name="Straight Connector 146" descr="Decorative line">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9" name="Step" descr="Sort data in a range or table, hyperlinked to web">
            <a:hlinkClick xmlns:r="http://schemas.openxmlformats.org/officeDocument/2006/relationships" r:id="rId9" tooltip="Select to learn about sorting data in a range or table from the web"/>
            <a:extLst>
              <a:ext uri="{FF2B5EF4-FFF2-40B4-BE49-F238E27FC236}">
                <a16:creationId xmlns:a16="http://schemas.microsoft.com/office/drawing/2014/main" id="{00000000-0008-0000-0500-000095000000}"/>
              </a:ext>
            </a:extLst>
          </xdr:cNvPr>
          <xdr:cNvSpPr txBox="1"/>
        </xdr:nvSpPr>
        <xdr:spPr>
          <a:xfrm>
            <a:off x="1028609" y="13147147"/>
            <a:ext cx="186699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Sort data in a range or table</a:t>
            </a:r>
          </a:p>
        </xdr:txBody>
      </xdr:sp>
      <xdr:pic>
        <xdr:nvPicPr>
          <xdr:cNvPr id="150" name="Graphic 22" descr="Arrow">
            <a:hlinkClick xmlns:r="http://schemas.openxmlformats.org/officeDocument/2006/relationships" r:id="rId9" tooltip="Select to learn more from the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051870"/>
            <a:ext cx="454554" cy="448472"/>
          </a:xfrm>
          <a:prstGeom prst="rect">
            <a:avLst/>
          </a:prstGeom>
        </xdr:spPr>
      </xdr:pic>
      <xdr:sp macro="" textlink="">
        <xdr:nvSpPr>
          <xdr:cNvPr id="151" name="Step" descr="Filter data in a range or table, hyperlinked to web">
            <a:hlinkClick xmlns:r="http://schemas.openxmlformats.org/officeDocument/2006/relationships" r:id="rId12" tooltip="Select to learn about filtering data in a range or table from the web"/>
            <a:extLst>
              <a:ext uri="{FF2B5EF4-FFF2-40B4-BE49-F238E27FC236}">
                <a16:creationId xmlns:a16="http://schemas.microsoft.com/office/drawing/2014/main" id="{00000000-0008-0000-0500-000097000000}"/>
              </a:ext>
            </a:extLst>
          </xdr:cNvPr>
          <xdr:cNvSpPr txBox="1"/>
        </xdr:nvSpPr>
        <xdr:spPr>
          <a:xfrm>
            <a:off x="1028609" y="13611754"/>
            <a:ext cx="1981291"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Filter data in a range or table</a:t>
            </a:r>
          </a:p>
        </xdr:txBody>
      </xdr:sp>
      <xdr:pic>
        <xdr:nvPicPr>
          <xdr:cNvPr id="152"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8" name="Tables make things a lot easier"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3375" y="266700"/>
          <a:ext cx="5716905" cy="4619625"/>
          <a:chOff x="333375" y="266700"/>
          <a:chExt cx="5695950" cy="4619625"/>
        </a:xfrm>
      </xdr:grpSpPr>
      <xdr:sp macro="" textlink="">
        <xdr:nvSpPr>
          <xdr:cNvPr id="95" name="Rectangle 94" descr="Background">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6" name="Step" descr="Tables make things a lot easier">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Tables make things a lot easier</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97" name="Straight Connector 96" descr="Decorative line">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Next Button" descr="Dive down for more detail">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9" name="Straight Connector 98" descr="Decorative line">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1" name="Step" descr="A table gives you special features and conveniences. Here’s how to create one:">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table gives you special features and conveniences. Here’s how to create one:</a:t>
            </a:r>
          </a:p>
        </xdr:txBody>
      </xdr:sp>
      <xdr:sp macro="" textlink="">
        <xdr:nvSpPr>
          <xdr:cNvPr id="102" name="Step" descr="Click inside the data to the right, and then click Insert &gt; Table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inside the dat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to the right,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Table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4" name="Step" descr="Now you have a table, which is a collection of cells that has special features. For starters: A table gives you banded rows for easier reading">
            <a:extLst>
              <a:ext uri="{FF2B5EF4-FFF2-40B4-BE49-F238E27FC236}">
                <a16:creationId xmlns:a16="http://schemas.microsoft.com/office/drawing/2014/main" id="{00000000-0008-0000-0600-000068000000}"/>
              </a:ext>
            </a:extLst>
          </xdr:cNvPr>
          <xdr:cNvSpPr txBox="1"/>
        </xdr:nvSpPr>
        <xdr:spPr>
          <a:xfrm>
            <a:off x="972157" y="179945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 have a table, which is a collection of cells that has special features. For starters: A table gives you banded rows for easier reading.</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6" name="Step" descr="You can also create new rows easily. In the empty cell under Meat, type some text and then press Enter. A new row for the table appears">
            <a:extLst>
              <a:ext uri="{FF2B5EF4-FFF2-40B4-BE49-F238E27FC236}">
                <a16:creationId xmlns:a16="http://schemas.microsoft.com/office/drawing/2014/main" id="{00000000-0008-0000-0600-00006A000000}"/>
              </a:ext>
            </a:extLst>
          </xdr:cNvPr>
          <xdr:cNvSpPr txBox="1"/>
        </xdr:nvSpPr>
        <xdr:spPr>
          <a:xfrm>
            <a:off x="972158" y="230357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new rows easily. In the empty cell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type some text</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press Enter.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new row for the table appears.</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8" name="Step"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create columns easily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In the lower-</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right corner of the table, click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the resize handle    and drag it to the right 2 columns.</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Notice how the two columns are created, formatted, and the text Jan and Feb are filled for you">
            <a:extLst>
              <a:ext uri="{FF2B5EF4-FFF2-40B4-BE49-F238E27FC236}">
                <a16:creationId xmlns:a16="http://schemas.microsoft.com/office/drawing/2014/main" id="{00000000-0008-0000-0600-00006E000000}"/>
              </a:ext>
            </a:extLst>
          </xdr:cNvPr>
          <xdr:cNvSpPr txBox="1"/>
        </xdr:nvSpPr>
        <xdr:spPr>
          <a:xfrm>
            <a:off x="972158" y="327208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Notice how the two columns are created, formatted, and the text Jan and Feb are filled for you.</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2295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pic>
        <xdr:nvPicPr>
          <xdr:cNvPr id="113" name="Picture 112" descr="Resize handle">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2464252" y="3106683"/>
            <a:ext cx="73001" cy="79349"/>
          </a:xfrm>
          <a:prstGeom prst="rect">
            <a:avLst/>
          </a:prstGeom>
        </xdr:spPr>
      </xdr:pic>
    </xdr:grpSp>
    <xdr:clientData/>
  </xdr:twoCellAnchor>
  <xdr:twoCellAnchor editAs="oneCell">
    <xdr:from>
      <xdr:col>0</xdr:col>
      <xdr:colOff>390525</xdr:colOff>
      <xdr:row>26</xdr:row>
      <xdr:rowOff>0</xdr:rowOff>
    </xdr:from>
    <xdr:to>
      <xdr:col>1</xdr:col>
      <xdr:colOff>5238750</xdr:colOff>
      <xdr:row>45</xdr:row>
      <xdr:rowOff>12699</xdr:rowOff>
    </xdr:to>
    <xdr:grpSp>
      <xdr:nvGrpSpPr>
        <xdr:cNvPr id="7" name="Calculated columns in tables"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0525" y="5524500"/>
          <a:ext cx="5716905" cy="3632199"/>
          <a:chOff x="390525" y="5943600"/>
          <a:chExt cx="5695950" cy="3632199"/>
        </a:xfrm>
      </xdr:grpSpPr>
      <xdr:sp macro="" textlink="">
        <xdr:nvSpPr>
          <xdr:cNvPr id="119" name="Rectangle 118" descr="Background">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0" name="Step" descr="Calculated columns in table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Calculated columns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1" name="Straight Connector 120" descr="Decorative line">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Straight Connector 121" descr="Decorative line">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Step" descr="One example of a convenience that tables give you: calculated columns. You type a formula once, and it gets automatically filled down for you. Here’s how it works:">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One example of a convenience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that tables give you: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alculated columns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You type a formula once, and it gets automatically filled down for you. Here’s how it works:</a:t>
            </a:r>
          </a:p>
        </xdr:txBody>
      </xdr:sp>
      <xdr:sp macro="" textlink="">
        <xdr:nvSpPr>
          <xdr:cNvPr id="124" name="Step" descr="Select the cell under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Select the cell under </a:t>
            </a:r>
            <a:r>
              <a:rPr lang="en-US" sz="1100" b="1">
                <a:latin typeface="Segoe UI" panose="020B0502040204020203" pitchFamily="34" charset="0"/>
                <a:cs typeface="Segoe UI" panose="020B0502040204020203" pitchFamily="34" charset="0"/>
              </a:rPr>
              <a:t>Total</a:t>
            </a:r>
            <a:r>
              <a:rPr lang="en-US" sz="1100">
                <a:latin typeface="Segoe UI" panose="020B0502040204020203" pitchFamily="34" charset="0"/>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6" name="Step" descr="Press Enter key">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he SUM formula gets filled down for you so that you don’t have to do it yourself">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SUM formula gets filled down for you so that you don’t have to do it yourself.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Press Alt and Equals key">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Press</a:t>
            </a:r>
          </a:p>
          <a:p>
            <a:endParaRPr lang="en-US" sz="110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Rectangle: Rounded Corners 115" descr="Enter key">
            <a:extLst>
              <a:ext uri="{FF2B5EF4-FFF2-40B4-BE49-F238E27FC236}">
                <a16:creationId xmlns:a16="http://schemas.microsoft.com/office/drawing/2014/main" id="{00000000-0008-0000-0600-000074000000}"/>
              </a:ext>
            </a:extLst>
          </xdr:cNvPr>
          <xdr:cNvSpPr/>
        </xdr:nvSpPr>
        <xdr:spPr>
          <a:xfrm>
            <a:off x="1490729" y="8305359"/>
            <a:ext cx="47046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Enter</a:t>
            </a:r>
          </a:p>
        </xdr:txBody>
      </xdr:sp>
      <xdr:sp macro="" textlink="">
        <xdr:nvSpPr>
          <xdr:cNvPr id="117" name="Rectangle: Rounded Corners 116" descr="Alt key">
            <a:extLst>
              <a:ext uri="{FF2B5EF4-FFF2-40B4-BE49-F238E27FC236}">
                <a16:creationId xmlns:a16="http://schemas.microsoft.com/office/drawing/2014/main" id="{00000000-0008-0000-0600-000075000000}"/>
              </a:ext>
            </a:extLst>
          </xdr:cNvPr>
          <xdr:cNvSpPr/>
        </xdr:nvSpPr>
        <xdr:spPr>
          <a:xfrm>
            <a:off x="1490729"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Alt</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8" name="Rectangle: Rounded Corners 117" descr="Equals key">
            <a:extLst>
              <a:ext uri="{FF2B5EF4-FFF2-40B4-BE49-F238E27FC236}">
                <a16:creationId xmlns:a16="http://schemas.microsoft.com/office/drawing/2014/main" id="{00000000-0008-0000-0600-000076000000}"/>
              </a:ext>
            </a:extLst>
          </xdr:cNvPr>
          <xdr:cNvSpPr/>
        </xdr:nvSpPr>
        <xdr:spPr>
          <a:xfrm>
            <a:off x="2035131"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8</xdr:col>
      <xdr:colOff>476250</xdr:colOff>
      <xdr:row>64</xdr:row>
      <xdr:rowOff>28575</xdr:rowOff>
    </xdr:to>
    <xdr:grpSp>
      <xdr:nvGrpSpPr>
        <xdr:cNvPr id="10" name="Group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9071610" y="11515725"/>
          <a:ext cx="2225040" cy="1276350"/>
          <a:chOff x="8753475" y="11934825"/>
          <a:chExt cx="2162175" cy="1276350"/>
        </a:xfrm>
      </xdr:grpSpPr>
      <xdr:sp macro="" textlink="">
        <xdr:nvSpPr>
          <xdr:cNvPr id="132" name="Step"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There's a shortcut for showing and hiding the total row. Click inside the table, and then press</a:t>
            </a:r>
            <a:r>
              <a:rPr lang="en-US" sz="1100" kern="0" baseline="0">
                <a:solidFill>
                  <a:schemeClr val="bg2">
                    <a:lumMod val="25000"/>
                  </a:schemeClr>
                </a:solidFill>
                <a:ea typeface="Segoe UI" pitchFamily="34" charset="0"/>
                <a:cs typeface="Segoe UI Light" panose="020B0502040204020203" pitchFamily="34" charset="0"/>
              </a:rPr>
              <a:t> CTRL+SHIFT+T.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33" name="Graphic 147" descr="Glasse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352425</xdr:colOff>
      <xdr:row>15</xdr:row>
      <xdr:rowOff>114299</xdr:rowOff>
    </xdr:from>
    <xdr:to>
      <xdr:col>7</xdr:col>
      <xdr:colOff>314324</xdr:colOff>
      <xdr:row>22</xdr:row>
      <xdr:rowOff>9524</xdr:rowOff>
    </xdr:to>
    <xdr:grpSp>
      <xdr:nvGrpSpPr>
        <xdr:cNvPr id="9" name="Group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7858125" y="3543299"/>
          <a:ext cx="2636519" cy="1228725"/>
          <a:chOff x="7648575" y="3790949"/>
          <a:chExt cx="2486024" cy="1362075"/>
        </a:xfrm>
      </xdr:grpSpPr>
      <xdr:sp macro="" textlink="">
        <xdr:nvSpPr>
          <xdr:cNvPr id="136" name="Step"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changing the table style. First click inside the table,</a:t>
            </a:r>
            <a:r>
              <a:rPr lang="en-US" sz="1100" kern="0" baseline="0">
                <a:solidFill>
                  <a:schemeClr val="bg2">
                    <a:lumMod val="25000"/>
                  </a:schemeClr>
                </a:solidFill>
                <a:ea typeface="Segoe UI" pitchFamily="34" charset="0"/>
                <a:cs typeface="Segoe UI Light" panose="020B0502040204020203" pitchFamily="34" charset="0"/>
              </a:rPr>
              <a:t> and the </a:t>
            </a:r>
            <a:r>
              <a:rPr lang="en-US" sz="1100" b="1" kern="0" baseline="0">
                <a:solidFill>
                  <a:schemeClr val="bg2">
                    <a:lumMod val="25000"/>
                  </a:schemeClr>
                </a:solidFill>
                <a:ea typeface="Segoe UI" pitchFamily="34" charset="0"/>
                <a:cs typeface="Segoe UI Light" panose="020B0502040204020203" pitchFamily="34" charset="0"/>
              </a:rPr>
              <a:t>Table Tools Design </a:t>
            </a:r>
            <a:r>
              <a:rPr lang="en-US" sz="1100" kern="0" baseline="0">
                <a:solidFill>
                  <a:schemeClr val="bg2">
                    <a:lumMod val="25000"/>
                  </a:schemeClr>
                </a:solidFill>
                <a:ea typeface="Segoe UI" pitchFamily="34" charset="0"/>
                <a:cs typeface="Segoe UI Light" panose="020B0502040204020203" pitchFamily="34" charset="0"/>
              </a:rPr>
              <a:t>tab will appear at the top of Excel. Click that tab, and then pick a style you like.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37" name="Graphic 263" descr="Ribbon">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648575" y="3845776"/>
            <a:ext cx="471716" cy="439736"/>
          </a:xfrm>
          <a:prstGeom prst="rect">
            <a:avLst/>
          </a:prstGeom>
        </xdr:spPr>
      </xdr:pic>
    </xdr:grpSp>
    <xdr:clientData/>
  </xdr:twoCellAnchor>
  <xdr:twoCellAnchor editAs="oneCell">
    <xdr:from>
      <xdr:col>2</xdr:col>
      <xdr:colOff>428625</xdr:colOff>
      <xdr:row>41</xdr:row>
      <xdr:rowOff>104775</xdr:rowOff>
    </xdr:from>
    <xdr:to>
      <xdr:col>8</xdr:col>
      <xdr:colOff>295275</xdr:colOff>
      <xdr:row>46</xdr:row>
      <xdr:rowOff>100377</xdr:rowOff>
    </xdr:to>
    <xdr:grpSp>
      <xdr:nvGrpSpPr>
        <xdr:cNvPr id="4" name="EXPERIMENT" descr="EXPERIMENT: 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04000000}"/>
            </a:ext>
          </a:extLst>
        </xdr:cNvPr>
        <xdr:cNvGrpSpPr/>
      </xdr:nvGrpSpPr>
      <xdr:grpSpPr>
        <a:xfrm>
          <a:off x="6981825" y="8486775"/>
          <a:ext cx="4133850" cy="948102"/>
          <a:chOff x="6800850" y="8905875"/>
          <a:chExt cx="4000500" cy="948102"/>
        </a:xfrm>
      </xdr:grpSpPr>
      <xdr:pic>
        <xdr:nvPicPr>
          <xdr:cNvPr id="138" name="Graphic 96" descr="Flask">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Step"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After</a:t>
            </a:r>
            <a:r>
              <a:rPr lang="en-US" sz="1100" kern="0" baseline="0">
                <a:solidFill>
                  <a:schemeClr val="bg2">
                    <a:lumMod val="25000"/>
                  </a:schemeClr>
                </a:solidFill>
                <a:ea typeface="Segoe UI" pitchFamily="34" charset="0"/>
                <a:cs typeface="Segoe UI Light" panose="020B0502040204020203" pitchFamily="34" charset="0"/>
              </a:rPr>
              <a:t> putting in the calculated column, try typing over one of the cells in the column. What happens? If you see a green triangle, click it and then click the exclamation mark. You'll see that Excel's watchin' out for ya...</a:t>
            </a:r>
            <a:endParaRPr lang="en-US" sz="1100" kern="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5238750</xdr:colOff>
      <xdr:row>70</xdr:row>
      <xdr:rowOff>19050</xdr:rowOff>
    </xdr:to>
    <xdr:grpSp>
      <xdr:nvGrpSpPr>
        <xdr:cNvPr id="3" name="Total rows in tables"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0525" y="9305925"/>
          <a:ext cx="5716905" cy="4619625"/>
          <a:chOff x="390525" y="9801226"/>
          <a:chExt cx="5695950" cy="4591050"/>
        </a:xfrm>
      </xdr:grpSpPr>
      <xdr:sp macro="" textlink="">
        <xdr:nvSpPr>
          <xdr:cNvPr id="141" name="Rectangle 140" descr="Background">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2" name="Step" descr="Total rows in table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Total rows in tables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3" name="Straight Connector 142" descr="Decorative line">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Step" descr="Another convenience in tables are total rows. Instead of typing a SUM formula, Excel can make that total for you with a flip of a switch. And the same goes for the AVERAGE formula, and many others. Here’s how it works:">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Another convenience in tables are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rows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Instead of typing a SUM formula, Excel can make that total for you with a flip of a switch. And the same goes for the AVERAGE formula, and many others. Here’s how it works:</a:t>
            </a:r>
          </a:p>
        </xdr:txBody>
      </xdr:sp>
      <xdr:sp macro="" textlink="">
        <xdr:nvSpPr>
          <xdr:cNvPr id="145" name="Step" descr="Select any cell within the table on the right">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Select any cell within the table on the right.</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47" name="Step" descr="On that tab, click Total Row">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On that tab, click </a:t>
            </a:r>
            <a:r>
              <a:rPr lang="en-US" sz="1100" b="1">
                <a:latin typeface="Segoe UI" panose="020B0502040204020203" pitchFamily="34" charset="0"/>
                <a:cs typeface="Segoe UI" panose="020B0502040204020203" pitchFamily="34" charset="0"/>
              </a:rPr>
              <a:t>Total Row</a:t>
            </a:r>
            <a:r>
              <a:rPr lang="en-US" sz="1100">
                <a:latin typeface="Segoe UI" panose="020B0502040204020203" pitchFamily="34" charset="0"/>
                <a:cs typeface="Segoe UI" panose="020B0502040204020203" pitchFamily="34" charset="0"/>
              </a:rPr>
              <a:t>.</a:t>
            </a:r>
          </a:p>
          <a:p>
            <a:endParaRPr lang="en-US" sz="1100">
              <a:latin typeface="Segoe UI" panose="020B0502040204020203" pitchFamily="34" charset="0"/>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49" name="Step" descr="The total of $24,000 is added to the bottom of the table">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The total of </a:t>
            </a:r>
            <a:r>
              <a:rPr lang="en-US" sz="1050" b="1">
                <a:latin typeface="Segoe UI" panose="020B0502040204020203" pitchFamily="34" charset="0"/>
                <a:cs typeface="Segoe UI" panose="020B0502040204020203" pitchFamily="34" charset="0"/>
              </a:rPr>
              <a:t>$24,000 </a:t>
            </a:r>
            <a:r>
              <a:rPr lang="en-US" sz="1050">
                <a:latin typeface="Segoe UI" panose="020B0502040204020203" pitchFamily="34" charset="0"/>
                <a:cs typeface="Segoe UI" panose="020B0502040204020203" pitchFamily="34" charset="0"/>
              </a:rPr>
              <a:t>is added to the bottom of the table.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51" name="Step" descr="At the top of the Excel window, the Table Tools Design tab will appea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At the top of the Excel window, the </a:t>
            </a:r>
            <a:r>
              <a:rPr lang="en-US" sz="1050" b="1">
                <a:latin typeface="Segoe UI" panose="020B0502040204020203" pitchFamily="34" charset="0"/>
                <a:cs typeface="Segoe UI" panose="020B0502040204020203" pitchFamily="34" charset="0"/>
              </a:rPr>
              <a:t>Table Tools Design </a:t>
            </a:r>
            <a:r>
              <a:rPr lang="en-US" sz="1050">
                <a:latin typeface="Segoe UI" panose="020B0502040204020203" pitchFamily="34" charset="0"/>
                <a:cs typeface="Segoe UI" panose="020B0502040204020203" pitchFamily="34" charset="0"/>
              </a:rPr>
              <a:t>tab will appear. </a:t>
            </a:r>
          </a:p>
          <a:p>
            <a:endParaRPr lang="en-US" sz="1050">
              <a:latin typeface="Segoe UI" panose="020B0502040204020203" pitchFamily="34" charset="0"/>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53" name="Step" descr="But what if you wanted to know the average? Click the cell with $24,000">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But what if you wanted to know the average? Click the cell with </a:t>
            </a:r>
            <a:r>
              <a:rPr lang="en-US" sz="1050" b="1">
                <a:latin typeface="Segoe UI" panose="020B0502040204020203" pitchFamily="34" charset="0"/>
                <a:cs typeface="Segoe UI" panose="020B0502040204020203" pitchFamily="34" charset="0"/>
              </a:rPr>
              <a:t>$24,000</a:t>
            </a:r>
            <a:r>
              <a:rPr lang="en-US" sz="1050">
                <a:latin typeface="Segoe UI" panose="020B0502040204020203" pitchFamily="34" charset="0"/>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55" name="Step" descr="Click the down arrow and then click Average. The average amount of $3,000 appears">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down arrow </a:t>
            </a:r>
            <a:r>
              <a:rPr lang="en-US" sz="1050" baseline="0">
                <a:latin typeface="Segoe UI" panose="020B0502040204020203" pitchFamily="34" charset="0"/>
                <a:cs typeface="Segoe UI" panose="020B0502040204020203" pitchFamily="34" charset="0"/>
              </a:rPr>
              <a:t>     </a:t>
            </a:r>
            <a:r>
              <a:rPr lang="en-US" sz="1050">
                <a:latin typeface="Segoe UI" panose="020B0502040204020203" pitchFamily="34" charset="0"/>
                <a:cs typeface="Segoe UI" panose="020B0502040204020203" pitchFamily="34" charset="0"/>
              </a:rPr>
              <a:t> and then click </a:t>
            </a:r>
            <a:r>
              <a:rPr lang="en-US" sz="1050" b="1">
                <a:latin typeface="Segoe UI" panose="020B0502040204020203" pitchFamily="34" charset="0"/>
                <a:cs typeface="Segoe UI" panose="020B0502040204020203" pitchFamily="34" charset="0"/>
              </a:rPr>
              <a:t>Average</a:t>
            </a:r>
            <a:r>
              <a:rPr lang="en-US" sz="1050">
                <a:latin typeface="Segoe UI" panose="020B0502040204020203" pitchFamily="34" charset="0"/>
                <a:cs typeface="Segoe UI" panose="020B0502040204020203" pitchFamily="34" charset="0"/>
              </a:rPr>
              <a:t>. The average amount of </a:t>
            </a:r>
            <a:r>
              <a:rPr lang="en-US" sz="1050" b="1">
                <a:latin typeface="Segoe UI" panose="020B0502040204020203" pitchFamily="34" charset="0"/>
                <a:cs typeface="Segoe UI" panose="020B0502040204020203" pitchFamily="34" charset="0"/>
              </a:rPr>
              <a:t>$3,000 </a:t>
            </a:r>
            <a:r>
              <a:rPr lang="en-US" sz="1050">
                <a:latin typeface="Segoe UI" panose="020B0502040204020203" pitchFamily="34" charset="0"/>
                <a:cs typeface="Segoe UI" panose="020B0502040204020203" pitchFamily="34" charset="0"/>
              </a:rPr>
              <a:t>appears.</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cxnSp macro="">
        <xdr:nvCxnSpPr>
          <xdr:cNvPr id="157" name="Straight Connector 156" descr="Decorative line">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Picture 157" descr="Down arrow">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399286"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5233990</xdr:colOff>
      <xdr:row>88</xdr:row>
      <xdr:rowOff>98823</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5765" y="14087475"/>
          <a:ext cx="5716905" cy="3346848"/>
          <a:chOff x="385765" y="14586347"/>
          <a:chExt cx="5695950" cy="3267075"/>
        </a:xfrm>
      </xdr:grpSpPr>
      <xdr:sp macro="" textlink="">
        <xdr:nvSpPr>
          <xdr:cNvPr id="160" name="Rectangle 159" descr="Background">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61" name="Step" descr="More information on the web">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2" name="Straight Connector 161" descr="Decorative line">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Next Button" descr="Back to top, hyperlinked to cell A1">
            <a:hlinkClick xmlns:r="http://schemas.openxmlformats.org/officeDocument/2006/relationships" r:id="rId11" tooltip="Select to go back to cell A1 in this worksheet"/>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64" name="Straight Connector 163" descr="Decorative line">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66" name="Step" descr="Overview of Excel tables, hyperlinked to web">
            <a:hlinkClick xmlns:r="http://schemas.openxmlformats.org/officeDocument/2006/relationships" r:id="rId12" tooltip="Select to learn an overview of Excel tables from the web"/>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Excel tables</a:t>
            </a:r>
          </a:p>
        </xdr:txBody>
      </xdr:sp>
      <xdr:pic>
        <xdr:nvPicPr>
          <xdr:cNvPr id="167"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Step" descr="Total the data in an Excel table, hyperlinked to web">
            <a:hlinkClick xmlns:r="http://schemas.openxmlformats.org/officeDocument/2006/relationships" r:id="rId15" tooltip="Select to learn about Total the data in an Excel table from the web"/>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Total the data in an Excel table</a:t>
            </a:r>
          </a:p>
        </xdr:txBody>
      </xdr:sp>
      <xdr:pic>
        <xdr:nvPicPr>
          <xdr:cNvPr id="169" name="Graphic 22" descr="Arrow">
            <a:hlinkClick xmlns:r="http://schemas.openxmlformats.org/officeDocument/2006/relationships" r:id="rId15" tooltip="Select to learn more from the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Step" descr="Use calculated columns in an Excel table, hyperlinked to web">
            <a:hlinkClick xmlns:r="http://schemas.openxmlformats.org/officeDocument/2006/relationships" r:id="rId16" tooltip="Select to learn about using calculated columns in an Excel table from the web"/>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calculated columns in an Excel table</a:t>
            </a:r>
          </a:p>
        </xdr:txBody>
      </xdr:sp>
      <xdr:pic>
        <xdr:nvPicPr>
          <xdr:cNvPr id="171" name="Graphic 22" descr="Arrow">
            <a:hlinkClick xmlns:r="http://schemas.openxmlformats.org/officeDocument/2006/relationships" r:id="rId16" tooltip="Select to learn more from the web"/>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5181600</xdr:colOff>
      <xdr:row>22</xdr:row>
      <xdr:rowOff>76200</xdr:rowOff>
    </xdr:to>
    <xdr:grpSp>
      <xdr:nvGrpSpPr>
        <xdr:cNvPr id="9" name="Insert a drop-down list"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3375" y="276225"/>
          <a:ext cx="5716905" cy="4562475"/>
          <a:chOff x="333375" y="276225"/>
          <a:chExt cx="5693569" cy="4636294"/>
        </a:xfrm>
      </xdr:grpSpPr>
      <xdr:sp macro="" textlink="">
        <xdr:nvSpPr>
          <xdr:cNvPr id="89" name="Rectangle 88" descr="Background">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0" name="Step" descr="Insert a drop-down list">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Insert a drop-down list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1" name="Straight Connector 90" descr="Decorative line">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Next Button" descr="Dive down for more detail">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93" name="Straight Connector 92" descr="Decorative line">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95" name="Step" descr="Drop-down lists make data entry easier for people. Here's how to do one:">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Drop-down lists make data entry easier for people. Here's how to do one: </a:t>
            </a:r>
          </a:p>
        </xdr:txBody>
      </xdr:sp>
      <xdr:sp macro="" textlink="">
        <xdr:nvSpPr>
          <xdr:cNvPr id="96" name="Step" descr="We want only three department names to be valid entries for each of the foods on the right. Those departments are Produce, Meat and Bakery">
            <a:extLst>
              <a:ext uri="{FF2B5EF4-FFF2-40B4-BE49-F238E27FC236}">
                <a16:creationId xmlns:a16="http://schemas.microsoft.com/office/drawing/2014/main" id="{00000000-0008-0000-0700-000060000000}"/>
              </a:ext>
            </a:extLst>
          </xdr:cNvPr>
          <xdr:cNvSpPr txBox="1"/>
        </xdr:nvSpPr>
        <xdr:spPr>
          <a:xfrm>
            <a:off x="969777" y="1319678"/>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want only three department names to be valid entries for each of the foods on the right. Those departments are Produce, Meat and Bakery.</a:t>
            </a:r>
          </a:p>
        </xdr:txBody>
      </xdr:sp>
      <xdr:sp macro="" textlink="">
        <xdr:nvSpPr>
          <xdr:cNvPr id="97" name="Oval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98" name="Step" descr="Click and drag to select the yellow cells under Department">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the yellow cells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Department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0" name="Step" descr="On the Data tab, click Data Validation. Under Allow, click List">
            <a:extLst>
              <a:ext uri="{FF2B5EF4-FFF2-40B4-BE49-F238E27FC236}">
                <a16:creationId xmlns:a16="http://schemas.microsoft.com/office/drawing/2014/main" id="{00000000-0008-0000-0700-000064000000}"/>
              </a:ext>
            </a:extLst>
          </xdr:cNvPr>
          <xdr:cNvSpPr txBox="1"/>
        </xdr:nvSpPr>
        <xdr:spPr>
          <a:xfrm>
            <a:off x="969777" y="2329764"/>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700-000065000000}"/>
              </a:ext>
            </a:extLst>
          </xdr:cNvPr>
          <xdr:cNvSpPr/>
        </xdr:nvSpPr>
        <xdr:spPr>
          <a:xfrm>
            <a:off x="565124" y="2287266"/>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02" name="Step" descr="In the Source box, type Produce, Meat, Bakery. Make sure to put commas in between them. Click OK when you’re done">
            <a:extLst>
              <a:ext uri="{FF2B5EF4-FFF2-40B4-BE49-F238E27FC236}">
                <a16:creationId xmlns:a16="http://schemas.microsoft.com/office/drawing/2014/main" id="{00000000-0008-0000-0700-000066000000}"/>
              </a:ext>
            </a:extLst>
          </xdr:cNvPr>
          <xdr:cNvSpPr txBox="1"/>
        </xdr:nvSpPr>
        <xdr:spPr>
          <a:xfrm>
            <a:off x="969777" y="2828512"/>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type</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Produce, Meat, 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Make sure to put commas in between them.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when you’re done.</a:t>
            </a:r>
          </a:p>
        </xdr:txBody>
      </xdr:sp>
      <xdr:sp macro="" textlink="">
        <xdr:nvSpPr>
          <xdr:cNvPr id="103" name="Oval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04" name="Step" descr="Now click the yellow cell next to Apples, and you'll see a drop-down menu">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click the yellow cell next to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you'll see a drop-down menu.</a:t>
            </a:r>
          </a:p>
        </xdr:txBody>
      </xdr:sp>
      <xdr:sp macro="" textlink="">
        <xdr:nvSpPr>
          <xdr:cNvPr id="105" name="Oval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58</xdr:row>
      <xdr:rowOff>0</xdr:rowOff>
    </xdr:to>
    <xdr:grpSp>
      <xdr:nvGrpSpPr>
        <xdr:cNvPr id="7" name="Best practice for drop-downs: Use a table."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0525" y="5524500"/>
          <a:ext cx="5716905" cy="6096000"/>
          <a:chOff x="390525" y="6036469"/>
          <a:chExt cx="5693569" cy="6096000"/>
        </a:xfrm>
      </xdr:grpSpPr>
      <xdr:sp macro="" textlink="">
        <xdr:nvSpPr>
          <xdr:cNvPr id="118" name="Rectangle 117" descr="Background">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Best practice for drop-downs: Use a table">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Best practice for drop-downs: Use a 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We just taught you how to insert a drop-down menu for the list of departments. But what if that list changes? For example, what if there is a new department called Dairy? You’d have to update the data validation dialog box. But there’s a more efficient way by creating a table first:">
            <a:extLst>
              <a:ext uri="{FF2B5EF4-FFF2-40B4-BE49-F238E27FC236}">
                <a16:creationId xmlns:a16="http://schemas.microsoft.com/office/drawing/2014/main" id="{00000000-0008-0000-0700-000079000000}"/>
              </a:ext>
            </a:extLst>
          </xdr:cNvPr>
          <xdr:cNvSpPr txBox="1"/>
        </xdr:nvSpPr>
        <xdr:spPr>
          <a:xfrm>
            <a:off x="619125" y="6745715"/>
            <a:ext cx="529855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We just taught you how to insert a drop-down menu for the list of departments. But what if that list changes? For example, what if there is a new department called Dairy? You’d have to update the data validation dialog box. But there’s a more efficient way by creating a table first:</a:t>
            </a:r>
          </a:p>
        </xdr:txBody>
      </xdr:sp>
      <xdr:sp macro="" textlink="">
        <xdr:nvSpPr>
          <xdr:cNvPr id="122" name="Step" descr="In column G, click a cell with a department. For example, click Meat">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column F, click a cell with a department. For example, click </a:t>
            </a:r>
            <a:r>
              <a:rPr lang="en-US" sz="1100" b="1">
                <a:latin typeface="Segoe UI" panose="020B0502040204020203" pitchFamily="34" charset="0"/>
                <a:cs typeface="Segoe UI" panose="020B0502040204020203" pitchFamily="34" charset="0"/>
              </a:rPr>
              <a:t>Meat</a:t>
            </a:r>
            <a:r>
              <a:rPr lang="en-US" sz="1100">
                <a:latin typeface="Segoe UI" panose="020B0502040204020203" pitchFamily="34" charset="0"/>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24" name="Step" descr="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click the drop-down arrow. There are only three departments: Produce, Meat and Bakery. But if you add a new department in column F under Bakery, it will get updated with the new department.</a:t>
            </a:r>
          </a:p>
          <a:p>
            <a:endParaRPr lang="en-US" sz="1100">
              <a:latin typeface="Segoe UI" panose="020B0502040204020203"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700-00007D000000}"/>
              </a:ext>
            </a:extLst>
          </xdr:cNvPr>
          <xdr:cNvSpPr/>
        </xdr:nvSpPr>
        <xdr:spPr>
          <a:xfrm>
            <a:off x="622274" y="1112328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8</a:t>
            </a:r>
          </a:p>
        </xdr:txBody>
      </xdr:sp>
      <xdr:sp macro="" textlink="">
        <xdr:nvSpPr>
          <xdr:cNvPr id="126" name="Step" descr="Create a table by pressing Ctrl and T Key and then OK">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Create a table by pressing </a:t>
            </a:r>
            <a:r>
              <a:rPr lang="en-US" sz="1100" baseline="0">
                <a:latin typeface="Segoe UI" panose="020B0502040204020203" pitchFamily="34" charset="0"/>
                <a:cs typeface="Segoe UI" panose="020B0502040204020203" pitchFamily="34" charset="0"/>
              </a:rPr>
              <a:t>                             </a:t>
            </a:r>
            <a:r>
              <a:rPr lang="en-US" sz="1100">
                <a:latin typeface="Segoe UI" panose="020B0502040204020203" pitchFamily="34" charset="0"/>
                <a:cs typeface="Segoe UI" panose="020B0502040204020203" pitchFamily="34" charset="0"/>
              </a:rPr>
              <a:t>and then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28" name="Step" descr="Now you’ll set up the data validation again. In column D, select all of the blank cells under Department">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Now you’ll set up the data validation again. In column D, select all of the blank cells under </a:t>
            </a:r>
            <a:r>
              <a:rPr lang="en-US" sz="1100" b="1">
                <a:latin typeface="Segoe UI" panose="020B0502040204020203" pitchFamily="34" charset="0"/>
                <a:cs typeface="Segoe UI" panose="020B0502040204020203" pitchFamily="34" charset="0"/>
              </a:rPr>
              <a:t>Department</a:t>
            </a:r>
            <a:r>
              <a:rPr lang="en-US" sz="1100">
                <a:latin typeface="Segoe UI" panose="020B0502040204020203" pitchFamily="34" charset="0"/>
                <a:cs typeface="Segoe UI" panose="020B0502040204020203" pitchFamily="34" charset="0"/>
              </a:rPr>
              <a:t>.</a:t>
            </a:r>
            <a:endParaRPr lang="en-US" sz="1100" b="1">
              <a:latin typeface="Segoe UI" panose="020B0502040204020203" pitchFamily="34" charset="0"/>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xnSp macro="">
        <xdr:nvCxnSpPr>
          <xdr:cNvPr id="130" name="Straight Connector 129" descr="Decorative line">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Step" descr="On the Data tab, click Data Validation. Under Allow, click List">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Validation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Allow</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0" name="Step" descr="Click inside the Source box, then click the up arrow button">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inside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box, then click the up arrow button</a:t>
            </a:r>
          </a:p>
        </xdr:txBody>
      </xdr:sp>
      <xdr:sp macro="" textlink="">
        <xdr:nvSpPr>
          <xdr:cNvPr id="111" name="Oval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12" name="Step" descr="Click and drag to select just the Produce, Meat and Bakery cells in column F. Then click the down arrow button ">
            <a:extLst>
              <a:ext uri="{FF2B5EF4-FFF2-40B4-BE49-F238E27FC236}">
                <a16:creationId xmlns:a16="http://schemas.microsoft.com/office/drawing/2014/main" id="{00000000-0008-0000-0700-000070000000}"/>
              </a:ext>
            </a:extLst>
          </xdr:cNvPr>
          <xdr:cNvSpPr txBox="1"/>
        </xdr:nvSpPr>
        <xdr:spPr>
          <a:xfrm>
            <a:off x="1026927" y="101455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and drag to select just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Produce</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Bakery</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cells in column F. Then click the down arrow button </a:t>
            </a:r>
          </a:p>
        </xdr:txBody>
      </xdr:sp>
      <xdr:sp macro="" textlink="">
        <xdr:nvSpPr>
          <xdr:cNvPr id="113" name="Oval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sp macro="" textlink="">
        <xdr:nvSpPr>
          <xdr:cNvPr id="114" name="Step" descr="You should see this in the Source box: =$F$32:$F$34. (If you don’t see that you can type it in.) Click OK">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should see this in the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Source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box: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=$F$32:$F$34</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(If you don’t see that you can type it in.)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700-000073000000}"/>
              </a:ext>
            </a:extLst>
          </xdr:cNvPr>
          <xdr:cNvSpPr/>
        </xdr:nvSpPr>
        <xdr:spPr>
          <a:xfrm>
            <a:off x="622274" y="1060243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7</a:t>
            </a:r>
          </a:p>
        </xdr:txBody>
      </xdr:sp>
      <xdr:sp macro="" textlink="">
        <xdr:nvSpPr>
          <xdr:cNvPr id="116" name="Rectangle: Rounded Corners 115" descr="Ctrl key">
            <a:extLst>
              <a:ext uri="{FF2B5EF4-FFF2-40B4-BE49-F238E27FC236}">
                <a16:creationId xmlns:a16="http://schemas.microsoft.com/office/drawing/2014/main" id="{00000000-0008-0000-0700-000074000000}"/>
              </a:ext>
            </a:extLst>
          </xdr:cNvPr>
          <xdr:cNvSpPr/>
        </xdr:nvSpPr>
        <xdr:spPr>
          <a:xfrm>
            <a:off x="278299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17" name="Rectangle: Rounded Corners 116" descr="T key">
            <a:extLst>
              <a:ext uri="{FF2B5EF4-FFF2-40B4-BE49-F238E27FC236}">
                <a16:creationId xmlns:a16="http://schemas.microsoft.com/office/drawing/2014/main" id="{00000000-0008-0000-0700-000075000000}"/>
              </a:ext>
            </a:extLst>
          </xdr:cNvPr>
          <xdr:cNvSpPr/>
        </xdr:nvSpPr>
        <xdr:spPr>
          <a:xfrm>
            <a:off x="332739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T</a:t>
            </a:r>
          </a:p>
        </xdr:txBody>
      </xdr:sp>
      <xdr:pic>
        <xdr:nvPicPr>
          <xdr:cNvPr id="4" name="Picture 3" descr="Edit reference button">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814947" y="9713463"/>
            <a:ext cx="204439" cy="181207"/>
          </a:xfrm>
          <a:prstGeom prst="rect">
            <a:avLst/>
          </a:prstGeom>
        </xdr:spPr>
      </xdr:pic>
      <xdr:pic>
        <xdr:nvPicPr>
          <xdr:cNvPr id="5" name="Picture 4" descr="Close reference edit">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3880528" y="10379544"/>
            <a:ext cx="206644" cy="184043"/>
          </a:xfrm>
          <a:prstGeom prst="rect">
            <a:avLst/>
          </a:prstGeom>
        </xdr:spPr>
      </xdr:pic>
    </xdr:grpSp>
    <xdr:clientData/>
  </xdr:twoCellAnchor>
  <xdr:twoCellAnchor editAs="oneCell">
    <xdr:from>
      <xdr:col>4</xdr:col>
      <xdr:colOff>657225</xdr:colOff>
      <xdr:row>33</xdr:row>
      <xdr:rowOff>93739</xdr:rowOff>
    </xdr:from>
    <xdr:to>
      <xdr:col>8</xdr:col>
      <xdr:colOff>76199</xdr:colOff>
      <xdr:row>43</xdr:row>
      <xdr:rowOff>47625</xdr:rowOff>
    </xdr:to>
    <xdr:grpSp>
      <xdr:nvGrpSpPr>
        <xdr:cNvPr id="8" name="Group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8810625" y="6951739"/>
          <a:ext cx="2543174" cy="1858886"/>
          <a:chOff x="8591550" y="7370839"/>
          <a:chExt cx="2447924" cy="1858886"/>
        </a:xfrm>
      </xdr:grpSpPr>
      <xdr:sp macro="" textlink="">
        <xdr:nvSpPr>
          <xdr:cNvPr id="134" name="Arc 133" descr="Arrow">
            <a:extLst>
              <a:ext uri="{FF2B5EF4-FFF2-40B4-BE49-F238E27FC236}">
                <a16:creationId xmlns:a16="http://schemas.microsoft.com/office/drawing/2014/main" id="{00000000-0008-0000-0700-000086000000}"/>
              </a:ext>
            </a:extLst>
          </xdr:cNvPr>
          <xdr:cNvSpPr/>
        </xdr:nvSpPr>
        <xdr:spPr>
          <a:xfrm rot="1202673">
            <a:off x="9177569" y="7370839"/>
            <a:ext cx="1207772"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pic>
        <xdr:nvPicPr>
          <xdr:cNvPr id="136" name="Graphic 2" descr="Owl">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Step"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EXPERT TIP</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Often people put their validation lists like this out of the way on another sheet. That way others won't be tempted to change the list.</a:t>
            </a:r>
            <a:endParaRPr lang="en-US" sz="110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247650</xdr:colOff>
      <xdr:row>15</xdr:row>
      <xdr:rowOff>104775</xdr:rowOff>
    </xdr:to>
    <xdr:grpSp>
      <xdr:nvGrpSpPr>
        <xdr:cNvPr id="6" name="Group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8791575" y="847725"/>
          <a:ext cx="2733675" cy="2686050"/>
          <a:chOff x="8572500" y="847725"/>
          <a:chExt cx="2495550" cy="2933700"/>
        </a:xfrm>
      </xdr:grpSpPr>
      <xdr:sp macro="" textlink="">
        <xdr:nvSpPr>
          <xdr:cNvPr id="142" name="Step"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Drop-down lists help ensure people enter valid data. So it makes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sense that drop-downs are a part of a larger group of features known as </a:t>
            </a:r>
            <a:r>
              <a:rPr lang="en-US" sz="1100" b="1" kern="0">
                <a:solidFill>
                  <a:schemeClr val="bg2">
                    <a:lumMod val="25000"/>
                  </a:schemeClr>
                </a:solidFill>
                <a:ea typeface="Segoe UI" pitchFamily="34" charset="0"/>
                <a:cs typeface="Segoe UI Light" panose="020B0502040204020203" pitchFamily="34" charset="0"/>
              </a:rPr>
              <a:t>data validation</a:t>
            </a:r>
            <a:r>
              <a:rPr lang="en-US" sz="1100" kern="0">
                <a:solidFill>
                  <a:schemeClr val="bg2">
                    <a:lumMod val="25000"/>
                  </a:schemeClr>
                </a:solidFill>
                <a:ea typeface="Segoe UI" pitchFamily="34" charset="0"/>
                <a:cs typeface="Segoe UI Light" panose="020B0502040204020203" pitchFamily="34" charset="0"/>
              </a:rPr>
              <a:t>. </a:t>
            </a:r>
          </a:p>
          <a:p>
            <a:pPr lvl="0">
              <a:defRPr/>
            </a:pPr>
            <a:endParaRPr lang="en-US" sz="1100" kern="0">
              <a:solidFill>
                <a:schemeClr val="bg2">
                  <a:lumMod val="25000"/>
                </a:schemeClr>
              </a:solidFill>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There are other data validation methods</a:t>
            </a:r>
            <a:r>
              <a:rPr lang="en-US" sz="1100" kern="0" baseline="0">
                <a:solidFill>
                  <a:schemeClr val="bg2">
                    <a:lumMod val="25000"/>
                  </a:schemeClr>
                </a:solidFill>
                <a:ea typeface="Segoe UI" pitchFamily="34" charset="0"/>
                <a:cs typeface="Segoe UI Light" panose="020B0502040204020203" pitchFamily="34" charset="0"/>
              </a:rPr>
              <a:t>. For example, you can </a:t>
            </a:r>
            <a:r>
              <a:rPr lang="en-US" sz="1100" kern="0">
                <a:solidFill>
                  <a:schemeClr val="bg2">
                    <a:lumMod val="25000"/>
                  </a:schemeClr>
                </a:solidFill>
                <a:ea typeface="Segoe UI" pitchFamily="34" charset="0"/>
                <a:cs typeface="Segoe UI Light" panose="020B0502040204020203" pitchFamily="34" charset="0"/>
              </a:rPr>
              <a:t>restrict</a:t>
            </a:r>
            <a:r>
              <a:rPr lang="en-US" sz="1100" kern="0" baseline="0">
                <a:solidFill>
                  <a:schemeClr val="bg2">
                    <a:lumMod val="25000"/>
                  </a:schemeClr>
                </a:solidFill>
                <a:ea typeface="Segoe UI" pitchFamily="34" charset="0"/>
                <a:cs typeface="Segoe UI Light" panose="020B0502040204020203" pitchFamily="34" charset="0"/>
              </a:rPr>
              <a:t> entry to whole numbers, dates, or even minimum and maximum amounts. There are many options available, and you can read more about them by clicking the link at the bottom of this sheet.</a:t>
            </a:r>
            <a:endParaRPr lang="en-US" sz="1100">
              <a:solidFill>
                <a:schemeClr val="bg2">
                  <a:lumMod val="25000"/>
                </a:schemeClr>
              </a:solidFill>
              <a:ea typeface="Segoe UI" pitchFamily="34" charset="0"/>
              <a:cs typeface="Segoe UI Light" panose="020B0502040204020203" pitchFamily="34" charset="0"/>
            </a:endParaRPr>
          </a:p>
        </xdr:txBody>
      </xdr:sp>
      <xdr:pic>
        <xdr:nvPicPr>
          <xdr:cNvPr id="143" name="Graphic 147" descr="Glasses">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5238750</xdr:colOff>
      <xdr:row>74</xdr:row>
      <xdr:rowOff>157775</xdr:rowOff>
    </xdr:to>
    <xdr:grpSp>
      <xdr:nvGrpSpPr>
        <xdr:cNvPr id="2" name="More On Web"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0525" y="11820525"/>
          <a:ext cx="5716905" cy="3005750"/>
          <a:chOff x="390525" y="12239625"/>
          <a:chExt cx="5695950" cy="3005750"/>
        </a:xfrm>
      </xdr:grpSpPr>
      <xdr:sp macro="" textlink="">
        <xdr:nvSpPr>
          <xdr:cNvPr id="145" name="Rectangle 144" descr="Background">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6" name="Step" descr="More information on the web">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7" name="Straight Connector 146" descr="Decorative line">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Next Button" descr="Back to top, hyperlinked to cell A1">
            <a:hlinkClick xmlns:r="http://schemas.openxmlformats.org/officeDocument/2006/relationships" r:id="rId9" tooltip="Select to go back to cell A1 in this worksheet"/>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9" name="Straight Connector 148" descr="Decorative line">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1" name="Step" descr="Apply data validation to cells, hyperlinked to web">
            <a:hlinkClick xmlns:r="http://schemas.openxmlformats.org/officeDocument/2006/relationships" r:id="rId10" tooltip="Select to learn about applying data validation to cells from the web"/>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Apply data validation to cells</a:t>
            </a:r>
          </a:p>
        </xdr:txBody>
      </xdr:sp>
      <xdr:pic>
        <xdr:nvPicPr>
          <xdr:cNvPr id="152" name="Graphic 22" descr="Arrow">
            <a:hlinkClick xmlns:r="http://schemas.openxmlformats.org/officeDocument/2006/relationships" r:id="rId10" tooltip="Select to learn more from the web"/>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Step" descr="Create a drop-down list, hyperlinked to web">
            <a:hlinkClick xmlns:r="http://schemas.openxmlformats.org/officeDocument/2006/relationships" r:id="rId13" tooltip="Select to learn about creating a drop-down list from the web"/>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pic>
        <xdr:nvPicPr>
          <xdr:cNvPr id="154" name="Graphic 22" descr="Arrow">
            <a:hlinkClick xmlns:r="http://schemas.openxmlformats.org/officeDocument/2006/relationships" r:id="rId13" tooltip="Select to learn more from the web"/>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5238750</xdr:colOff>
      <xdr:row>45</xdr:row>
      <xdr:rowOff>19051</xdr:rowOff>
    </xdr:to>
    <xdr:grpSp>
      <xdr:nvGrpSpPr>
        <xdr:cNvPr id="4" name="Quickly make a chart"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0525" y="5524501"/>
          <a:ext cx="5716905" cy="3638550"/>
          <a:chOff x="390525" y="5943600"/>
          <a:chExt cx="5695950" cy="3698874"/>
        </a:xfrm>
      </xdr:grpSpPr>
      <xdr:sp macro="" textlink="">
        <xdr:nvSpPr>
          <xdr:cNvPr id="102" name="Rectangle 101" descr="Background">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03" name="Step" descr="Quickly make a chart">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a chart</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04" name="Straight Connector 103" descr="Decorative line">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Straight Connector 104" descr="Decorative line">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Step" descr="You can always use the Insert tab and create a chart. But here is another way to make a chart, using the Quick Analysis button. This time though, we'll use the keyboard shortcut:">
            <a:extLst>
              <a:ext uri="{FF2B5EF4-FFF2-40B4-BE49-F238E27FC236}">
                <a16:creationId xmlns:a16="http://schemas.microsoft.com/office/drawing/2014/main" id="{00000000-0008-0000-0800-00006A000000}"/>
              </a:ext>
            </a:extLst>
          </xdr:cNvPr>
          <xdr:cNvSpPr txBox="1"/>
        </xdr:nvSpPr>
        <xdr:spPr>
          <a:xfrm>
            <a:off x="619125" y="6652845"/>
            <a:ext cx="5300938"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always use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tab and create a chart. But here is another way to make a chart, using</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Quick Analysis button. This time though, we'll use the keyboard shortcut:</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107" name="Oval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8" name="Step" descr="Click the first Clustered… button">
            <a:extLst>
              <a:ext uri="{FF2B5EF4-FFF2-40B4-BE49-F238E27FC236}">
                <a16:creationId xmlns:a16="http://schemas.microsoft.com/office/drawing/2014/main" id="{00000000-0008-0000-0800-00006C000000}"/>
              </a:ext>
            </a:extLst>
          </xdr:cNvPr>
          <xdr:cNvSpPr txBox="1"/>
        </xdr:nvSpPr>
        <xdr:spPr>
          <a:xfrm>
            <a:off x="1029307" y="8345301"/>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Click the first </a:t>
            </a:r>
            <a:r>
              <a:rPr lang="en-US" sz="1050" b="1">
                <a:latin typeface="Segoe UI" panose="020B0502040204020203" pitchFamily="34" charset="0"/>
                <a:cs typeface="Segoe UI" panose="020B0502040204020203" pitchFamily="34" charset="0"/>
              </a:rPr>
              <a:t>Clustered…</a:t>
            </a:r>
            <a:r>
              <a:rPr lang="en-US" sz="1050">
                <a:latin typeface="Segoe UI" panose="020B0502040204020203" pitchFamily="34" charset="0"/>
                <a:cs typeface="Segoe UI" panose="020B0502040204020203" pitchFamily="34" charset="0"/>
              </a:rPr>
              <a:t> button.</a:t>
            </a:r>
          </a:p>
          <a:p>
            <a:endParaRPr lang="en-US" sz="1050">
              <a:latin typeface="Segoe UI" panose="020B0502040204020203" pitchFamily="34" charset="0"/>
              <a:cs typeface="Segoe UI" panose="020B0502040204020203" pitchFamily="34" charset="0"/>
            </a:endParaRPr>
          </a:p>
        </xdr:txBody>
      </xdr:sp>
      <xdr:sp macro="" textlink="">
        <xdr:nvSpPr>
          <xdr:cNvPr id="109" name="Oval 108" descr="3">
            <a:extLst>
              <a:ext uri="{FF2B5EF4-FFF2-40B4-BE49-F238E27FC236}">
                <a16:creationId xmlns:a16="http://schemas.microsoft.com/office/drawing/2014/main" id="{00000000-0008-0000-0800-00006D000000}"/>
              </a:ext>
            </a:extLst>
          </xdr:cNvPr>
          <xdr:cNvSpPr/>
        </xdr:nvSpPr>
        <xdr:spPr>
          <a:xfrm>
            <a:off x="622274" y="83028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A new clustered column chart appears. Move it anywhere you’d like. Notice that each product has three columns, one for each month of sales">
            <a:extLst>
              <a:ext uri="{FF2B5EF4-FFF2-40B4-BE49-F238E27FC236}">
                <a16:creationId xmlns:a16="http://schemas.microsoft.com/office/drawing/2014/main" id="{00000000-0008-0000-0800-00006E000000}"/>
              </a:ext>
            </a:extLst>
          </xdr:cNvPr>
          <xdr:cNvSpPr txBox="1"/>
        </xdr:nvSpPr>
        <xdr:spPr>
          <a:xfrm>
            <a:off x="1029307" y="8830581"/>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A new clustered column chart appears. Move it anywhere you’d like. Notice that each product has three columns, one for each month of sales.</a:t>
            </a:r>
          </a:p>
        </xdr:txBody>
      </xdr:sp>
      <xdr:sp macro="" textlink="">
        <xdr:nvSpPr>
          <xdr:cNvPr id="111" name="Oval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On the panel that appears, click Charts">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Charts</a:t>
            </a:r>
            <a:r>
              <a:rPr lang="en-US" sz="1050">
                <a:latin typeface="Segoe UI" panose="020B0502040204020203" pitchFamily="34" charset="0"/>
                <a:cs typeface="Segoe UI" panose="020B0502040204020203" pitchFamily="34" charset="0"/>
              </a:rPr>
              <a:t>.</a:t>
            </a:r>
          </a:p>
          <a:p>
            <a:endParaRPr lang="en-US" sz="1050">
              <a:latin typeface="Segoe UI" panose="020B0502040204020203" pitchFamily="34" charset="0"/>
              <a:cs typeface="Segoe UI" panose="020B0502040204020203" pitchFamily="34" charset="0"/>
            </a:endParaRPr>
          </a:p>
        </xdr:txBody>
      </xdr:sp>
      <xdr:sp macro="" textlink="">
        <xdr:nvSpPr>
          <xdr:cNvPr id="113" name="Oval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97" name="Step" descr="Click a cell inside the data to the right, and then press Ctrl and Q key">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98" name="Oval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0" name="Rectangle: Rounded Corners 99" descr="Ctrl key">
            <a:extLst>
              <a:ext uri="{FF2B5EF4-FFF2-40B4-BE49-F238E27FC236}">
                <a16:creationId xmlns:a16="http://schemas.microsoft.com/office/drawing/2014/main" id="{00000000-0008-0000-0800-000064000000}"/>
              </a:ext>
            </a:extLst>
          </xdr:cNvPr>
          <xdr:cNvSpPr/>
        </xdr:nvSpPr>
        <xdr:spPr>
          <a:xfrm>
            <a:off x="4353944"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01" name="Rectangle: Rounded Corners 100" descr="Q key">
            <a:extLst>
              <a:ext uri="{FF2B5EF4-FFF2-40B4-BE49-F238E27FC236}">
                <a16:creationId xmlns:a16="http://schemas.microsoft.com/office/drawing/2014/main" id="{00000000-0008-0000-0800-000065000000}"/>
              </a:ext>
            </a:extLst>
          </xdr:cNvPr>
          <xdr:cNvSpPr/>
        </xdr:nvSpPr>
        <xdr:spPr>
          <a:xfrm>
            <a:off x="4898346"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5238750</xdr:colOff>
      <xdr:row>66</xdr:row>
      <xdr:rowOff>28575</xdr:rowOff>
    </xdr:to>
    <xdr:grpSp>
      <xdr:nvGrpSpPr>
        <xdr:cNvPr id="3" name="Quickly make sparklines"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0525" y="9315451"/>
          <a:ext cx="5716905" cy="3857624"/>
          <a:chOff x="390525" y="9801225"/>
          <a:chExt cx="5695950" cy="3790949"/>
        </a:xfrm>
      </xdr:grpSpPr>
      <xdr:sp macro="" textlink="">
        <xdr:nvSpPr>
          <xdr:cNvPr id="121" name="Rectangle 120" descr="Background">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Quickly make sparklines">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Quickly make sparklines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3" name="Straight Connector 122" descr="Decorative line">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Step" descr="Let's say you want little trend lines to the right of this data to show how the amounts go up or down during the three months. You don't have to make 8 little line charts. You can make sparklines instead">
            <a:extLst>
              <a:ext uri="{FF2B5EF4-FFF2-40B4-BE49-F238E27FC236}">
                <a16:creationId xmlns:a16="http://schemas.microsoft.com/office/drawing/2014/main" id="{00000000-0008-0000-0800-00007D000000}"/>
              </a:ext>
            </a:extLst>
          </xdr:cNvPr>
          <xdr:cNvSpPr txBox="1"/>
        </xdr:nvSpPr>
        <xdr:spPr>
          <a:xfrm>
            <a:off x="619125" y="10510472"/>
            <a:ext cx="5300938"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Let's say you want little trend lines to the right of this data to show how the amounts go up or down during the three months. You don't have to make 8 little line charts. You can make sparklines instead.</a:t>
            </a:r>
          </a:p>
        </xdr:txBody>
      </xdr:sp>
      <xdr:sp macro="" textlink="">
        <xdr:nvSpPr>
          <xdr:cNvPr id="126" name="Step" descr="Sparklines appear to the right of the Dec column. Each line represents the data for that row, and shows whether the amounts go up or down">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Sparklines appear to the right of the </a:t>
            </a:r>
            <a:r>
              <a:rPr lang="en-US" sz="1050" b="1">
                <a:latin typeface="Segoe UI" panose="020B0502040204020203" pitchFamily="34" charset="0"/>
                <a:cs typeface="Segoe UI" panose="020B0502040204020203" pitchFamily="34" charset="0"/>
              </a:rPr>
              <a:t>Dec </a:t>
            </a:r>
            <a:r>
              <a:rPr lang="en-US" sz="1050">
                <a:latin typeface="Segoe UI" panose="020B0502040204020203" pitchFamily="34" charset="0"/>
                <a:cs typeface="Segoe UI" panose="020B0502040204020203" pitchFamily="34" charset="0"/>
              </a:rPr>
              <a:t>column. Each line represents the data for that row, and shows whether the amounts go up or down.</a:t>
            </a:r>
          </a:p>
          <a:p>
            <a:endParaRPr lang="en-US" sz="1050">
              <a:latin typeface="Segoe UI" panose="020B0502040204020203" pitchFamily="34" charset="0"/>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28" name="Step" descr="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80000000}"/>
              </a:ext>
            </a:extLst>
          </xdr:cNvPr>
          <xdr:cNvSpPr txBox="1"/>
        </xdr:nvSpPr>
        <xdr:spPr>
          <a:xfrm>
            <a:off x="1029307" y="12619824"/>
            <a:ext cx="4809517"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To clear the sparklines, click and drag to select them. The </a:t>
            </a:r>
            <a:r>
              <a:rPr lang="en-US" sz="1050" b="1">
                <a:latin typeface="Segoe UI" panose="020B0502040204020203" pitchFamily="34" charset="0"/>
                <a:cs typeface="Segoe UI" panose="020B0502040204020203" pitchFamily="34" charset="0"/>
              </a:rPr>
              <a:t>Sparkline Tools Design </a:t>
            </a:r>
            <a:r>
              <a:rPr lang="en-US" sz="1050">
                <a:latin typeface="Segoe UI" panose="020B0502040204020203" pitchFamily="34" charset="0"/>
                <a:cs typeface="Segoe UI" panose="020B0502040204020203" pitchFamily="34" charset="0"/>
              </a:rPr>
              <a:t>tab will appear at the top of the window. Go to that tab, and then click the </a:t>
            </a:r>
            <a:r>
              <a:rPr lang="en-US" sz="1050" b="1">
                <a:latin typeface="Segoe UI" panose="020B0502040204020203" pitchFamily="34" charset="0"/>
                <a:cs typeface="Segoe UI" panose="020B0502040204020203" pitchFamily="34" charset="0"/>
              </a:rPr>
              <a:t>Clear</a:t>
            </a:r>
            <a:r>
              <a:rPr lang="en-US" sz="1050">
                <a:latin typeface="Segoe UI" panose="020B0502040204020203" pitchFamily="34" charset="0"/>
                <a:cs typeface="Segoe UI" panose="020B0502040204020203" pitchFamily="34" charset="0"/>
              </a:rPr>
              <a:t> button.</a:t>
            </a:r>
          </a:p>
        </xdr:txBody>
      </xdr:sp>
      <xdr:sp macro="" textlink="">
        <xdr:nvSpPr>
          <xdr:cNvPr id="129" name="Oval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30" name="Step" descr="On the panel that appears, click Sparklines, and then click the Line button">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050">
                <a:latin typeface="Segoe UI" panose="020B0502040204020203" pitchFamily="34" charset="0"/>
                <a:cs typeface="Segoe UI" panose="020B0502040204020203" pitchFamily="34" charset="0"/>
              </a:rPr>
              <a:t>On the panel that appears, click </a:t>
            </a:r>
            <a:r>
              <a:rPr lang="en-US" sz="1050" b="1">
                <a:latin typeface="Segoe UI" panose="020B0502040204020203" pitchFamily="34" charset="0"/>
                <a:cs typeface="Segoe UI" panose="020B0502040204020203" pitchFamily="34" charset="0"/>
              </a:rPr>
              <a:t>Sparklines</a:t>
            </a:r>
            <a:r>
              <a:rPr lang="en-US" sz="1050">
                <a:latin typeface="Segoe UI" panose="020B0502040204020203" pitchFamily="34" charset="0"/>
                <a:cs typeface="Segoe UI" panose="020B0502040204020203" pitchFamily="34" charset="0"/>
              </a:rPr>
              <a:t>, and then click the </a:t>
            </a:r>
            <a:r>
              <a:rPr lang="en-US" sz="1050" b="1">
                <a:latin typeface="Segoe UI" panose="020B0502040204020203" pitchFamily="34" charset="0"/>
                <a:cs typeface="Segoe UI" panose="020B0502040204020203" pitchFamily="34" charset="0"/>
              </a:rPr>
              <a:t>Line </a:t>
            </a:r>
            <a:r>
              <a:rPr lang="en-US" sz="1050">
                <a:latin typeface="Segoe UI" panose="020B0502040204020203" pitchFamily="34" charset="0"/>
                <a:cs typeface="Segoe UI" panose="020B0502040204020203" pitchFamily="34" charset="0"/>
              </a:rPr>
              <a:t>button.</a:t>
            </a:r>
          </a:p>
          <a:p>
            <a:endParaRPr lang="en-US" sz="1050">
              <a:latin typeface="Segoe UI" panose="020B0502040204020203" pitchFamily="34" charset="0"/>
              <a:cs typeface="Segoe UI" panose="020B0502040204020203" pitchFamily="34" charset="0"/>
            </a:endParaRPr>
          </a:p>
        </xdr:txBody>
      </xdr:sp>
      <xdr:sp macro="" textlink="">
        <xdr:nvSpPr>
          <xdr:cNvPr id="131" name="Oval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16" name="Step" descr="Click a cell inside the data to the right, and then press Ctrl and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 cell inside the data to the right, and then press</a:t>
            </a:r>
          </a:p>
        </xdr:txBody>
      </xdr:sp>
      <xdr:sp macro="" textlink="">
        <xdr:nvSpPr>
          <xdr:cNvPr id="117" name="Oval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19" name="Rectangle: Rounded Corners 118" descr="Ctrl key">
            <a:extLst>
              <a:ext uri="{FF2B5EF4-FFF2-40B4-BE49-F238E27FC236}">
                <a16:creationId xmlns:a16="http://schemas.microsoft.com/office/drawing/2014/main" id="{00000000-0008-0000-0800-000077000000}"/>
              </a:ext>
            </a:extLst>
          </xdr:cNvPr>
          <xdr:cNvSpPr/>
        </xdr:nvSpPr>
        <xdr:spPr>
          <a:xfrm>
            <a:off x="4477769"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latin typeface="Segoe UI" panose="020B0502040204020203" pitchFamily="34" charset="0"/>
                <a:cs typeface="Segoe UI" panose="020B0502040204020203" pitchFamily="34" charset="0"/>
              </a:rPr>
              <a:t>Ctrl</a:t>
            </a:r>
            <a:endParaRPr lang="en-US" sz="800" spc="100" baseline="0">
              <a:solidFill>
                <a:schemeClr val="tx1"/>
              </a:solidFill>
              <a:latin typeface="Segoe UI" panose="020B0502040204020203" pitchFamily="34" charset="0"/>
              <a:cs typeface="Segoe UI" panose="020B0502040204020203" pitchFamily="34" charset="0"/>
            </a:endParaRPr>
          </a:p>
        </xdr:txBody>
      </xdr:sp>
      <xdr:sp macro="" textlink="">
        <xdr:nvSpPr>
          <xdr:cNvPr id="120" name="Rectangle: Rounded Corners 119" descr="Q key">
            <a:extLst>
              <a:ext uri="{FF2B5EF4-FFF2-40B4-BE49-F238E27FC236}">
                <a16:creationId xmlns:a16="http://schemas.microsoft.com/office/drawing/2014/main" id="{00000000-0008-0000-0800-000078000000}"/>
              </a:ext>
            </a:extLst>
          </xdr:cNvPr>
          <xdr:cNvSpPr/>
        </xdr:nvSpPr>
        <xdr:spPr>
          <a:xfrm>
            <a:off x="5022171"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a:solidFill>
                  <a:schemeClr val="tx1"/>
                </a:solidFill>
                <a:latin typeface="Segoe UI" panose="020B0502040204020203" pitchFamily="34" charset="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5238750</xdr:colOff>
      <xdr:row>82</xdr:row>
      <xdr:rowOff>6350</xdr:rowOff>
    </xdr:to>
    <xdr:grpSp>
      <xdr:nvGrpSpPr>
        <xdr:cNvPr id="132" name="More On Web"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0525" y="13335000"/>
          <a:ext cx="5716905" cy="2863850"/>
          <a:chOff x="0" y="1"/>
          <a:chExt cx="5695950" cy="2806700"/>
        </a:xfrm>
      </xdr:grpSpPr>
      <xdr:sp macro="" textlink="">
        <xdr:nvSpPr>
          <xdr:cNvPr id="133" name="Rectangle 132" descr="Background">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4" name="Step" descr="More information on the web">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5" name="Straight Connector 134" descr="Decorative line">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37" name="Straight Connector 136" descr="Decorative line">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39" name="Step" descr="Analyze your data instantly, hyperlinked to web">
            <a:hlinkClick xmlns:r="http://schemas.openxmlformats.org/officeDocument/2006/relationships" r:id="rId3" tooltip="Select to learn about analyzing your data instantly from the web"/>
            <a:extLst>
              <a:ext uri="{FF2B5EF4-FFF2-40B4-BE49-F238E27FC236}">
                <a16:creationId xmlns:a16="http://schemas.microsoft.com/office/drawing/2014/main" id="{00000000-0008-0000-0800-00008B000000}"/>
              </a:ext>
            </a:extLst>
          </xdr:cNvPr>
          <xdr:cNvSpPr txBox="1"/>
        </xdr:nvSpPr>
        <xdr:spPr>
          <a:xfrm>
            <a:off x="638783" y="794849"/>
            <a:ext cx="18281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your data instantly</a:t>
            </a:r>
          </a:p>
        </xdr:txBody>
      </xdr:sp>
      <xdr:pic>
        <xdr:nvPicPr>
          <xdr:cNvPr id="140" name="Graphic 22" descr="Arrow">
            <a:hlinkClick xmlns:r="http://schemas.openxmlformats.org/officeDocument/2006/relationships" r:id="rId3" tooltip="Select to learn more from the web"/>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Step" descr="Analyze trends in data using sparklines, hyperlinked to web">
            <a:hlinkClick xmlns:r="http://schemas.openxmlformats.org/officeDocument/2006/relationships" r:id="rId6" tooltip="Select to learn about analyzing trends in data using sparklines from the web"/>
            <a:extLst>
              <a:ext uri="{FF2B5EF4-FFF2-40B4-BE49-F238E27FC236}">
                <a16:creationId xmlns:a16="http://schemas.microsoft.com/office/drawing/2014/main" id="{00000000-0008-0000-0800-00008D000000}"/>
              </a:ext>
            </a:extLst>
          </xdr:cNvPr>
          <xdr:cNvSpPr txBox="1"/>
        </xdr:nvSpPr>
        <xdr:spPr>
          <a:xfrm>
            <a:off x="638783" y="1259456"/>
            <a:ext cx="25235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Analyze trends in data using sparklines</a:t>
            </a:r>
          </a:p>
          <a:p>
            <a:pPr lvl="0">
              <a:defRPr/>
            </a:pPr>
            <a:endParaRPr lang="en-US" sz="105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42" name="Graphic 22" descr="Arrow">
            <a:hlinkClick xmlns:r="http://schemas.openxmlformats.org/officeDocument/2006/relationships" r:id="rId6" tooltip="Select to learn more from the web"/>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5181600</xdr:colOff>
      <xdr:row>20</xdr:row>
      <xdr:rowOff>0</xdr:rowOff>
    </xdr:to>
    <xdr:grpSp>
      <xdr:nvGrpSpPr>
        <xdr:cNvPr id="5" name="Analyze data quickly"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3375" y="266700"/>
          <a:ext cx="5716905" cy="4114800"/>
          <a:chOff x="333375" y="266700"/>
          <a:chExt cx="5695950" cy="4114800"/>
        </a:xfrm>
      </xdr:grpSpPr>
      <xdr:sp macro="" textlink="">
        <xdr:nvSpPr>
          <xdr:cNvPr id="77" name="Rectangle 76" descr="Background">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8" name="Step" descr="Analyze data quickly">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Analyze data quickly</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79" name="Straight Connector 78" descr="Decorative line">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Next Button" descr="Dive down for more detail">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1" name="Straight Connector 80" descr="Decorative line">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3" name="Step" descr="Here’s how to analyze data so that you can spot patterns and trends quickly:">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Here’s how to analyze data so that you can spot patterns and trends quickly:</a:t>
            </a:r>
          </a:p>
        </xdr:txBody>
      </xdr:sp>
      <xdr:sp macro="" textlink="">
        <xdr:nvSpPr>
          <xdr:cNvPr id="84" name="Step" descr="Click and drag to select all cells on the right, and then click this button in the lower-right corner:">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drag to select all cells on the right, and then click this button in the lower-right corner: </a:t>
            </a: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sp macro="" textlink="">
        <xdr:nvSpPr>
          <xdr:cNvPr id="85" name="Oval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On the panel that appears, click Data Bars. The cells under Oct, Nov, and Dec columns get special data bars that visualize their amounts">
            <a:extLst>
              <a:ext uri="{FF2B5EF4-FFF2-40B4-BE49-F238E27FC236}">
                <a16:creationId xmlns:a16="http://schemas.microsoft.com/office/drawing/2014/main" id="{00000000-0008-0000-0800-000056000000}"/>
              </a:ext>
            </a:extLst>
          </xdr:cNvPr>
          <xdr:cNvSpPr txBox="1"/>
        </xdr:nvSpPr>
        <xdr:spPr>
          <a:xfrm>
            <a:off x="972157" y="1799454"/>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Data Bars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cells under Oct, Nov, and Dec columns get special data bars that visualize their amounts.</a:t>
            </a:r>
          </a:p>
        </xdr:txBody>
      </xdr:sp>
      <xdr:sp macro="" textlink="">
        <xdr:nvSpPr>
          <xdr:cNvPr id="87" name="Oval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Now let's say you want to get rid of the bars. Click this button again:">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let's say you want to get rid of the bars. Click this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button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again:</a:t>
            </a:r>
          </a:p>
        </xdr:txBody>
      </xdr:sp>
      <xdr:sp macro="" textlink="">
        <xdr:nvSpPr>
          <xdr:cNvPr id="89" name="Oval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On the panel that appears, click the Clear Format button on the right">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panel that appears, click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button on the right. </a:t>
            </a:r>
          </a:p>
        </xdr:txBody>
      </xdr:sp>
      <xdr:sp macro="" textlink="">
        <xdr:nvSpPr>
          <xdr:cNvPr id="91" name="Oval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pic>
        <xdr:nvPicPr>
          <xdr:cNvPr id="144" name="Picture 143" descr="Quick Analysis button">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2251988" y="1546622"/>
            <a:ext cx="243562" cy="241511"/>
          </a:xfrm>
          <a:prstGeom prst="rect">
            <a:avLst/>
          </a:prstGeom>
        </xdr:spPr>
      </xdr:pic>
      <xdr:pic>
        <xdr:nvPicPr>
          <xdr:cNvPr id="151" name="Picture 150" descr="Quick Analysis button">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5176163" y="2260997"/>
            <a:ext cx="243562" cy="241511"/>
          </a:xfrm>
          <a:prstGeom prst="rect">
            <a:avLst/>
          </a:prstGeom>
        </xdr:spPr>
      </xdr:pic>
    </xdr:grpSp>
    <xdr:clientData/>
  </xdr:twoCellAnchor>
  <xdr:twoCellAnchor editAs="oneCell">
    <xdr:from>
      <xdr:col>2</xdr:col>
      <xdr:colOff>727471</xdr:colOff>
      <xdr:row>13</xdr:row>
      <xdr:rowOff>107155</xdr:rowOff>
    </xdr:from>
    <xdr:to>
      <xdr:col>6</xdr:col>
      <xdr:colOff>733425</xdr:colOff>
      <xdr:row>19</xdr:row>
      <xdr:rowOff>142874</xdr:rowOff>
    </xdr:to>
    <xdr:grpSp>
      <xdr:nvGrpSpPr>
        <xdr:cNvPr id="2" name="GOOD TO KNOW" descr="GOOD TO KNOW: 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02000000}"/>
            </a:ext>
          </a:extLst>
        </xdr:cNvPr>
        <xdr:cNvGrpSpPr/>
      </xdr:nvGrpSpPr>
      <xdr:grpSpPr>
        <a:xfrm>
          <a:off x="7280671" y="3155155"/>
          <a:ext cx="3274934" cy="1178719"/>
          <a:chOff x="7099696" y="3364706"/>
          <a:chExt cx="3025379" cy="1072754"/>
        </a:xfrm>
      </xdr:grpSpPr>
      <xdr:sp macro="" textlink="">
        <xdr:nvSpPr>
          <xdr:cNvPr id="40" name="Step"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When you select cells, this button appears:</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It's called the </a:t>
            </a:r>
            <a:r>
              <a:rPr lang="en-US" sz="1100" b="1" kern="0">
                <a:solidFill>
                  <a:schemeClr val="bg2">
                    <a:lumMod val="25000"/>
                  </a:schemeClr>
                </a:solidFill>
                <a:ea typeface="Segoe UI" pitchFamily="34" charset="0"/>
                <a:cs typeface="Segoe UI Light" panose="020B0502040204020203" pitchFamily="34" charset="0"/>
              </a:rPr>
              <a:t>Quick Analysis </a:t>
            </a:r>
            <a:r>
              <a:rPr lang="en-US" sz="1100" kern="0">
                <a:solidFill>
                  <a:schemeClr val="bg2">
                    <a:lumMod val="25000"/>
                  </a:schemeClr>
                </a:solidFill>
                <a:ea typeface="Segoe UI" pitchFamily="34" charset="0"/>
                <a:cs typeface="Segoe UI Light" panose="020B0502040204020203" pitchFamily="34" charset="0"/>
              </a:rPr>
              <a:t>button. Aptly</a:t>
            </a:r>
            <a:r>
              <a:rPr lang="en-US" sz="1100" kern="0" baseline="0">
                <a:solidFill>
                  <a:schemeClr val="bg2">
                    <a:lumMod val="25000"/>
                  </a:schemeClr>
                </a:solidFill>
                <a:ea typeface="Segoe UI" pitchFamily="34" charset="0"/>
                <a:cs typeface="Segoe UI Light" panose="020B0502040204020203" pitchFamily="34" charset="0"/>
              </a:rPr>
              <a:t> named, don't you think? If you ever have a question about the data, click this button and see if it gives you some answers. </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47" name="Graphic 147" descr="Glasses">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Picture 151" descr="Quick Analysis button">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881513" y="3480197"/>
            <a:ext cx="243562" cy="241511"/>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933450</xdr:colOff>
      <xdr:row>20</xdr:row>
      <xdr:rowOff>85725</xdr:rowOff>
    </xdr:to>
    <xdr:grpSp>
      <xdr:nvGrpSpPr>
        <xdr:cNvPr id="5" name="Group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277100" y="3209925"/>
          <a:ext cx="2838450" cy="1257300"/>
          <a:chOff x="7096125" y="3419475"/>
          <a:chExt cx="2762250" cy="1047750"/>
        </a:xfrm>
      </xdr:grpSpPr>
      <xdr:sp macro="" textlink="">
        <xdr:nvSpPr>
          <xdr:cNvPr id="40" name="Step"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Want a data table directly under</a:t>
            </a:r>
            <a:r>
              <a:rPr lang="en-US" sz="1100" kern="0" baseline="0">
                <a:solidFill>
                  <a:schemeClr val="bg2">
                    <a:lumMod val="25000"/>
                  </a:schemeClr>
                </a:solidFill>
                <a:ea typeface="Segoe UI" pitchFamily="34" charset="0"/>
                <a:cs typeface="Segoe UI Light" panose="020B0502040204020203" pitchFamily="34" charset="0"/>
              </a:rPr>
              <a:t> the chart? Click the chart. On the </a:t>
            </a:r>
            <a:r>
              <a:rPr lang="en-US" sz="1100" b="1" kern="0" baseline="0">
                <a:solidFill>
                  <a:schemeClr val="bg2">
                    <a:lumMod val="25000"/>
                  </a:schemeClr>
                </a:solidFill>
                <a:ea typeface="Segoe UI" pitchFamily="34" charset="0"/>
                <a:cs typeface="Segoe UI Light" panose="020B0502040204020203" pitchFamily="34" charset="0"/>
              </a:rPr>
              <a:t>Chart Tools </a:t>
            </a:r>
            <a:r>
              <a:rPr lang="en-US" sz="1100" kern="0" baseline="0">
                <a:solidFill>
                  <a:schemeClr val="bg2">
                    <a:lumMod val="25000"/>
                  </a:schemeClr>
                </a:solidFill>
                <a:ea typeface="Segoe UI" pitchFamily="34" charset="0"/>
                <a:cs typeface="Segoe UI Light" panose="020B0502040204020203" pitchFamily="34" charset="0"/>
              </a:rPr>
              <a:t>tab, click </a:t>
            </a:r>
            <a:r>
              <a:rPr lang="en-US" sz="1100" b="1" kern="0" baseline="0">
                <a:solidFill>
                  <a:schemeClr val="bg2">
                    <a:lumMod val="25000"/>
                  </a:schemeClr>
                </a:solidFill>
                <a:ea typeface="Segoe UI" pitchFamily="34" charset="0"/>
                <a:cs typeface="Segoe UI Light" panose="020B0502040204020203" pitchFamily="34" charset="0"/>
              </a:rPr>
              <a:t>Design</a:t>
            </a:r>
            <a:r>
              <a:rPr lang="en-US" sz="1100" kern="0" baseline="0">
                <a:solidFill>
                  <a:schemeClr val="bg2">
                    <a:lumMod val="25000"/>
                  </a:schemeClr>
                </a:solidFill>
                <a:ea typeface="Segoe UI" pitchFamily="34" charset="0"/>
                <a:cs typeface="Segoe UI Light" panose="020B0502040204020203" pitchFamily="34" charset="0"/>
              </a:rPr>
              <a:t>. Then click </a:t>
            </a:r>
            <a:r>
              <a:rPr lang="en-US" sz="1100" b="1" kern="0" baseline="0">
                <a:solidFill>
                  <a:schemeClr val="bg2">
                    <a:lumMod val="25000"/>
                  </a:schemeClr>
                </a:solidFill>
                <a:ea typeface="Segoe UI" pitchFamily="34" charset="0"/>
                <a:cs typeface="Segoe UI Light" panose="020B0502040204020203" pitchFamily="34" charset="0"/>
              </a:rPr>
              <a:t>Add Chart Element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Data</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Table</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With</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Legend</a:t>
            </a:r>
            <a:r>
              <a:rPr lang="en-US" sz="1100" kern="0" baseline="0">
                <a:solidFill>
                  <a:schemeClr val="bg2">
                    <a:lumMod val="25000"/>
                  </a:schemeClr>
                </a:solidFill>
                <a:ea typeface="Segoe UI" pitchFamily="34" charset="0"/>
                <a:cs typeface="Segoe UI Light" panose="020B0502040204020203" pitchFamily="34" charset="0"/>
              </a:rPr>
              <a:t> </a:t>
            </a:r>
            <a:r>
              <a:rPr lang="en-US" sz="1100" b="1" kern="0" baseline="0">
                <a:solidFill>
                  <a:schemeClr val="bg2">
                    <a:lumMod val="25000"/>
                  </a:schemeClr>
                </a:solidFill>
                <a:ea typeface="Segoe UI" pitchFamily="34" charset="0"/>
                <a:cs typeface="Segoe UI Light" panose="020B0502040204020203" pitchFamily="34" charset="0"/>
              </a:rPr>
              <a:t>Keys</a:t>
            </a:r>
            <a:r>
              <a:rPr lang="en-US" sz="110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41" name="Graphic 263" descr="Ribbon">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editAs="oneCell">
    <xdr:from>
      <xdr:col>0</xdr:col>
      <xdr:colOff>333375</xdr:colOff>
      <xdr:row>0</xdr:row>
      <xdr:rowOff>266700</xdr:rowOff>
    </xdr:from>
    <xdr:to>
      <xdr:col>1</xdr:col>
      <xdr:colOff>5181600</xdr:colOff>
      <xdr:row>22</xdr:row>
      <xdr:rowOff>123825</xdr:rowOff>
    </xdr:to>
    <xdr:grpSp>
      <xdr:nvGrpSpPr>
        <xdr:cNvPr id="77" name="Great charts recommended for you"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3375" y="266700"/>
          <a:ext cx="5716905" cy="4619625"/>
          <a:chOff x="0" y="0"/>
          <a:chExt cx="5695950" cy="4619625"/>
        </a:xfrm>
      </xdr:grpSpPr>
      <xdr:sp macro="" textlink="">
        <xdr:nvSpPr>
          <xdr:cNvPr id="78" name="Rectangle 77" descr="Background">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9" name="Step" descr="Great charts recommended for you">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Great charts recommended for you</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80" name="Straight Connector 79" descr="Decorative line">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Next Button" descr="Dive down for more detail">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82" name="Straight Connector 81" descr="Decorative line">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84" name="Step" descr="Click anywhere in the data to the right, and then click Insert &gt; Recommended Charts">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Click anywhere in the data to the right, and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Insert</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Recommended</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86" name="Step" descr="You'll see several recommendations. Click the second one on the left called Clustered Columns. Then click OK">
            <a:extLst>
              <a:ext uri="{FF2B5EF4-FFF2-40B4-BE49-F238E27FC236}">
                <a16:creationId xmlns:a16="http://schemas.microsoft.com/office/drawing/2014/main" id="{00000000-0008-0000-0900-000056000000}"/>
              </a:ext>
            </a:extLst>
          </xdr:cNvPr>
          <xdr:cNvSpPr txBox="1"/>
        </xdr:nvSpPr>
        <xdr:spPr>
          <a:xfrm>
            <a:off x="638782" y="13193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You'll see several recommendations. Click the second one on the left called Clustered Columns.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OK</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88" name="Step" descr="A column chart appears showing total number of conference attendees per year. Feel free to move it anywhere you'd like">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column chart appears showing total number of conference attendees per year. Feel free to move it anywhere you'd like.</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90" name="Step" descr="Now you'll add a trendline. Select the chart, and the Chart Tools tab will appear at the top of the Excel window">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add a trendline. Select the chart, and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will appear at the top of the Excel window.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92" name="Step" descr="On the Chart Tools tab, click Design. Then click Add chart element &gt; Trendline &gt; Linear. Now you have a trendline that shows the general direction of the units sold over time">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On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Chart Tools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tab,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Design</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Then click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Add chart element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Trendline</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&gt;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Linear</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have a trendline that shows the general direction of the units sold over time.</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50</xdr:row>
      <xdr:rowOff>47625</xdr:rowOff>
    </xdr:to>
    <xdr:grpSp>
      <xdr:nvGrpSpPr>
        <xdr:cNvPr id="12" name="Horizontal and vertical axes"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0525" y="5524500"/>
          <a:ext cx="5716905" cy="4619625"/>
          <a:chOff x="390525" y="5943600"/>
          <a:chExt cx="5695950" cy="4619625"/>
        </a:xfrm>
      </xdr:grpSpPr>
      <xdr:sp macro="" textlink="">
        <xdr:nvSpPr>
          <xdr:cNvPr id="100" name="Rectangle 99" descr="Background">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01" name="Straight Connector 100" descr="Decorative line">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Straight Connector 101" descr="Decorative line">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Step" descr="Horizontal and vertical axes">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Horizontal and vertical axes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97" name="Step"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school you might have learned that there is an x-axis and a y-axis. Excel has these two axes as well, but it calls them something different.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this is what they are called:</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x-axis along the bottom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horizontal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y-axis that runs up and down is called the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vertical axis</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Each axis can either be a value axis or a category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value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numerical values. For example, a value axis can represent dollars, hours, duration, temperature, and so on.  The vertical axis on the right is a value axis. </a:t>
            </a: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category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represents things like dates, people names, product names. The horizontal axis on the right has years</a:t>
            </a:r>
            <a:r>
              <a:rPr lang="en-US" sz="105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 this is a category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8</xdr:col>
      <xdr:colOff>23861</xdr:colOff>
      <xdr:row>64</xdr:row>
      <xdr:rowOff>171450</xdr:rowOff>
    </xdr:to>
    <xdr:grpSp>
      <xdr:nvGrpSpPr>
        <xdr:cNvPr id="14" name="Secondary axis chart" descr="Combo Chart">
          <a:extLst>
            <a:ext uri="{FF2B5EF4-FFF2-40B4-BE49-F238E27FC236}">
              <a16:creationId xmlns:a16="http://schemas.microsoft.com/office/drawing/2014/main" id="{00000000-0008-0000-0900-00000E000000}"/>
            </a:ext>
          </a:extLst>
        </xdr:cNvPr>
        <xdr:cNvGrpSpPr/>
      </xdr:nvGrpSpPr>
      <xdr:grpSpPr>
        <a:xfrm>
          <a:off x="7524750" y="10420350"/>
          <a:ext cx="5605511" cy="2514600"/>
          <a:chOff x="7315200" y="10839450"/>
          <a:chExt cx="5443586" cy="2514600"/>
        </a:xfrm>
      </xdr:grpSpPr>
      <xdr:sp macro="" textlink="">
        <xdr:nvSpPr>
          <xdr:cNvPr id="131" name="Freeform: Shape 130" descr="Bracket line">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2" name="Freeform: Shape 131" descr="Bracket line">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3" name="Arc 132" descr="Bracket line">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4" name="Arc 133" descr="Bracket line">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0" name="Step" descr="Secondary axis">
            <a:extLst>
              <a:ext uri="{FF2B5EF4-FFF2-40B4-BE49-F238E27FC236}">
                <a16:creationId xmlns:a16="http://schemas.microsoft.com/office/drawing/2014/main" id="{00000000-0008-0000-0900-00008C000000}"/>
              </a:ext>
            </a:extLst>
          </xdr:cNvPr>
          <xdr:cNvSpPr txBox="1"/>
        </xdr:nvSpPr>
        <xdr:spPr>
          <a:xfrm>
            <a:off x="11734799" y="11699707"/>
            <a:ext cx="1023987" cy="463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Secondary</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129" name="Chart 128" descr="Combo Chart">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5238750</xdr:colOff>
      <xdr:row>65</xdr:row>
      <xdr:rowOff>114301</xdr:rowOff>
    </xdr:to>
    <xdr:grpSp>
      <xdr:nvGrpSpPr>
        <xdr:cNvPr id="11" name="Secondary axis"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0525" y="10287001"/>
          <a:ext cx="5716905" cy="2781300"/>
          <a:chOff x="390525" y="10810875"/>
          <a:chExt cx="5695950" cy="2676525"/>
        </a:xfrm>
      </xdr:grpSpPr>
      <xdr:sp macro="" textlink="">
        <xdr:nvSpPr>
          <xdr:cNvPr id="122" name="Rectangle 121" descr="Background">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123" name="Straight Connector 122" descr="Decorative line">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Straight Connector 123" descr="Decorative line">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Step" descr="Secondary axis">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Secondary axis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119" name="Step"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You can also use a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secondary axis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a chart. A secondary axis is an additional value axis that can show different values than the other value axis. </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a:t>
            </a:r>
            <a:r>
              <a:rPr lang="en-US" sz="105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Combo charts </a:t>
            </a:r>
            <a:r>
              <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Excel. If you’re interested in this kind of chart, click the link at the bottom of this sheet.</a:t>
            </a: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05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05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5</xdr:col>
      <xdr:colOff>952500</xdr:colOff>
      <xdr:row>46</xdr:row>
      <xdr:rowOff>61120</xdr:rowOff>
    </xdr:to>
    <xdr:grpSp>
      <xdr:nvGrpSpPr>
        <xdr:cNvPr id="10" name="Horizontal and vertical axes chart" descr="Chart showing Vertical and Horizontal axis">
          <a:extLst>
            <a:ext uri="{FF2B5EF4-FFF2-40B4-BE49-F238E27FC236}">
              <a16:creationId xmlns:a16="http://schemas.microsoft.com/office/drawing/2014/main" id="{00000000-0008-0000-0900-00000A000000}"/>
            </a:ext>
          </a:extLst>
        </xdr:cNvPr>
        <xdr:cNvGrpSpPr/>
      </xdr:nvGrpSpPr>
      <xdr:grpSpPr>
        <a:xfrm>
          <a:off x="6069330" y="6181725"/>
          <a:ext cx="5703570" cy="3213895"/>
          <a:chOff x="6048375" y="6600825"/>
          <a:chExt cx="5419725" cy="3213895"/>
        </a:xfrm>
      </xdr:grpSpPr>
      <xdr:sp macro="" textlink="">
        <xdr:nvSpPr>
          <xdr:cNvPr id="116" name="Step" descr="Category axis">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(Category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aphicFrame macro="">
        <xdr:nvGraphicFramePr>
          <xdr:cNvPr id="94" name="Chart 93" descr="Chart">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Freeform: Shape 135" descr="Bracket line">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7" name="Freeform: Shape 136" descr="Bracket line">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8" name="Arc 137" descr="Bracket line">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39" name="Arc 138" descr="Bracket line">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11" name="Step" descr="Horizontal axis">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Horizontal axis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Step" descr="Vertical axis">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Vertical axis</a:t>
            </a:r>
          </a:p>
        </xdr:txBody>
      </xdr:sp>
      <xdr:sp macro="" textlink="">
        <xdr:nvSpPr>
          <xdr:cNvPr id="115" name="Step" descr="Value axis">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(Value axis)</a:t>
            </a:r>
          </a:p>
        </xdr:txBody>
      </xdr:sp>
      <xdr:sp macro="" textlink="">
        <xdr:nvSpPr>
          <xdr:cNvPr id="142" name="Freeform: Shape 141" descr="Bracket line">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3" name="Freeform: Shape 142" descr="Bracket line">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4" name="Arc 143" descr="Bracket line">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45" name="Arc 144" descr="Bracket line">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editAs="oneCell">
    <xdr:from>
      <xdr:col>0</xdr:col>
      <xdr:colOff>390525</xdr:colOff>
      <xdr:row>66</xdr:row>
      <xdr:rowOff>171450</xdr:rowOff>
    </xdr:from>
    <xdr:to>
      <xdr:col>1</xdr:col>
      <xdr:colOff>5238750</xdr:colOff>
      <xdr:row>84</xdr:row>
      <xdr:rowOff>9525</xdr:rowOff>
    </xdr:to>
    <xdr:grpSp>
      <xdr:nvGrpSpPr>
        <xdr:cNvPr id="146" name="More On Web"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0525" y="13315950"/>
          <a:ext cx="5716905" cy="3267075"/>
          <a:chOff x="0" y="0"/>
          <a:chExt cx="5695950" cy="3267075"/>
        </a:xfrm>
      </xdr:grpSpPr>
      <xdr:sp macro="" textlink="">
        <xdr:nvSpPr>
          <xdr:cNvPr id="147" name="Rectangle 146" descr="Background">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8" name="Step" descr="More information on the web">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9" name="Straight Connector 148" descr="Decorative line">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Next Button" descr="Back to top, hyperlinked to cell A1">
            <a:hlinkClick xmlns:r="http://schemas.openxmlformats.org/officeDocument/2006/relationships" r:id="rId7" tooltip="Select to go back to cell A1 in this worksheet"/>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51" name="Straight Connector 150" descr="Decorative line">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Next Button" descr="Next step button, hyperlinked to next sheet">
            <a:hlinkClick xmlns:r="http://schemas.openxmlformats.org/officeDocument/2006/relationships" r:id="rId4" tooltip="Select to go to the next step"/>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53" name="Step" descr="Create a chart from start to finish, hyperlinked to web">
            <a:hlinkClick xmlns:r="http://schemas.openxmlformats.org/officeDocument/2006/relationships" r:id="rId8" tooltip="Select to learn about creating a chart from start to finish from the web"/>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chart from start to finish</a:t>
            </a:r>
          </a:p>
        </xdr:txBody>
      </xdr:sp>
      <xdr:pic>
        <xdr:nvPicPr>
          <xdr:cNvPr id="154"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Step" descr="Create a combo chart with a secondary axis, hyperlinked to web">
            <a:hlinkClick xmlns:r="http://schemas.openxmlformats.org/officeDocument/2006/relationships" r:id="rId11" tooltip="Select to learn about creating a combo chart with a secondary axis from the web"/>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combo chart with a secondary axis</a:t>
            </a:r>
          </a:p>
        </xdr:txBody>
      </xdr:sp>
      <xdr:pic>
        <xdr:nvPicPr>
          <xdr:cNvPr id="156" name="Graphic 22" descr="Arrow">
            <a:hlinkClick xmlns:r="http://schemas.openxmlformats.org/officeDocument/2006/relationships" r:id="rId11" tooltip="Select to learn more from the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Step" descr="Available chart types in Office, hyperlinked to web">
            <a:hlinkClick xmlns:r="http://schemas.openxmlformats.org/officeDocument/2006/relationships" r:id="rId12" tooltip="Select to learn about Available chart types in Office from the web"/>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Available chart types in Office</a:t>
            </a:r>
          </a:p>
        </xdr:txBody>
      </xdr:sp>
      <xdr:pic>
        <xdr:nvPicPr>
          <xdr:cNvPr id="158" name="Graphic 22" descr="Arrow">
            <a:hlinkClick xmlns:r="http://schemas.openxmlformats.org/officeDocument/2006/relationships" r:id="rId12" tooltip="Select to learn more from the web"/>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104775</xdr:colOff>
      <xdr:row>67</xdr:row>
      <xdr:rowOff>57149</xdr:rowOff>
    </xdr:from>
    <xdr:to>
      <xdr:col>8</xdr:col>
      <xdr:colOff>371475</xdr:colOff>
      <xdr:row>73</xdr:row>
      <xdr:rowOff>57150</xdr:rowOff>
    </xdr:to>
    <xdr:grpSp>
      <xdr:nvGrpSpPr>
        <xdr:cNvPr id="2" name="Secondary axis data" descr="Data that supports the secondary axis above">
          <a:extLst>
            <a:ext uri="{FF2B5EF4-FFF2-40B4-BE49-F238E27FC236}">
              <a16:creationId xmlns:a16="http://schemas.microsoft.com/office/drawing/2014/main" id="{00000000-0008-0000-0900-000002000000}"/>
            </a:ext>
          </a:extLst>
        </xdr:cNvPr>
        <xdr:cNvGrpSpPr/>
      </xdr:nvGrpSpPr>
      <xdr:grpSpPr>
        <a:xfrm>
          <a:off x="11991975" y="13392149"/>
          <a:ext cx="1485900" cy="1143001"/>
          <a:chOff x="11627124" y="13830299"/>
          <a:chExt cx="1447800" cy="1143001"/>
        </a:xfrm>
      </xdr:grpSpPr>
      <xdr:sp macro="" textlink="">
        <xdr:nvSpPr>
          <xdr:cNvPr id="160" name="Freeform: Shape 159" descr="Bracket line">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1" name="Freeform: Shape 160" descr="Bracket line">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2" name="Arc 161" descr="Bracket line">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3" name="Arc 162" descr="Bracket line">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4" name="Step" descr="Data that supports the secondary axis above">
            <a:extLst>
              <a:ext uri="{FF2B5EF4-FFF2-40B4-BE49-F238E27FC236}">
                <a16:creationId xmlns:a16="http://schemas.microsoft.com/office/drawing/2014/main" id="{00000000-0008-0000-0900-0000A4000000}"/>
              </a:ext>
            </a:extLst>
          </xdr:cNvPr>
          <xdr:cNvSpPr txBox="1"/>
        </xdr:nvSpPr>
        <xdr:spPr>
          <a:xfrm>
            <a:off x="11849099" y="13928556"/>
            <a:ext cx="1225825" cy="1044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Data that supports the secondary axis above</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1171574</xdr:colOff>
      <xdr:row>80</xdr:row>
      <xdr:rowOff>76200</xdr:rowOff>
    </xdr:to>
    <xdr:grpSp>
      <xdr:nvGrpSpPr>
        <xdr:cNvPr id="3" name="EXTRA CREDIT" descr="EXTRA CREDIT: 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03000000}"/>
            </a:ext>
          </a:extLst>
        </xdr:cNvPr>
        <xdr:cNvGrpSpPr/>
      </xdr:nvGrpSpPr>
      <xdr:grpSpPr>
        <a:xfrm>
          <a:off x="7277758" y="14668500"/>
          <a:ext cx="3075916" cy="1219200"/>
          <a:chOff x="7096125" y="15201900"/>
          <a:chExt cx="3000375" cy="1219200"/>
        </a:xfrm>
      </xdr:grpSpPr>
      <xdr:sp macro="" textlink="">
        <xdr:nvSpPr>
          <xdr:cNvPr id="165" name="Step"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219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EXTRA CREDIT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Try making a combo</a:t>
            </a:r>
            <a:r>
              <a:rPr lang="en-US" sz="1100" kern="0" baseline="0">
                <a:solidFill>
                  <a:schemeClr val="bg2">
                    <a:lumMod val="25000"/>
                  </a:schemeClr>
                </a:solidFill>
                <a:ea typeface="Segoe UI" pitchFamily="34" charset="0"/>
                <a:cs typeface="Segoe UI Light" panose="020B0502040204020203" pitchFamily="34" charset="0"/>
              </a:rPr>
              <a:t> chart. Select the data above, and then click </a:t>
            </a:r>
            <a:r>
              <a:rPr lang="en-US" sz="1100" b="1" kern="0" baseline="0">
                <a:solidFill>
                  <a:schemeClr val="bg2">
                    <a:lumMod val="25000"/>
                  </a:schemeClr>
                </a:solidFill>
                <a:ea typeface="Segoe UI" pitchFamily="34" charset="0"/>
                <a:cs typeface="Segoe UI Light" panose="020B0502040204020203" pitchFamily="34" charset="0"/>
              </a:rPr>
              <a:t>Insert</a:t>
            </a:r>
            <a:r>
              <a:rPr lang="en-US" sz="1100" kern="0" baseline="0">
                <a:solidFill>
                  <a:schemeClr val="bg2">
                    <a:lumMod val="25000"/>
                  </a:schemeClr>
                </a:solidFill>
                <a:ea typeface="Segoe UI" pitchFamily="34" charset="0"/>
                <a:cs typeface="Segoe UI Light" panose="020B0502040204020203" pitchFamily="34" charset="0"/>
              </a:rPr>
              <a:t> &gt; </a:t>
            </a:r>
            <a:r>
              <a:rPr lang="en-US" sz="1100" b="1" kern="0" baseline="0">
                <a:solidFill>
                  <a:schemeClr val="bg2">
                    <a:lumMod val="25000"/>
                  </a:schemeClr>
                </a:solidFill>
                <a:ea typeface="Segoe UI" pitchFamily="34" charset="0"/>
                <a:cs typeface="Segoe UI Light" panose="020B0502040204020203" pitchFamily="34" charset="0"/>
              </a:rPr>
              <a:t>Recommended Charts</a:t>
            </a:r>
            <a:r>
              <a:rPr lang="en-US" sz="1100" kern="0" baseline="0">
                <a:solidFill>
                  <a:schemeClr val="bg2">
                    <a:lumMod val="25000"/>
                  </a:schemeClr>
                </a:solidFill>
                <a:ea typeface="Segoe UI" pitchFamily="34" charset="0"/>
                <a:cs typeface="Segoe UI Light" panose="020B0502040204020203" pitchFamily="34" charset="0"/>
              </a:rPr>
              <a:t>. At the top, click the </a:t>
            </a:r>
            <a:r>
              <a:rPr lang="en-US" sz="1100" b="1" kern="0" baseline="0">
                <a:solidFill>
                  <a:schemeClr val="bg2">
                    <a:lumMod val="25000"/>
                  </a:schemeClr>
                </a:solidFill>
                <a:ea typeface="Segoe UI" pitchFamily="34" charset="0"/>
                <a:cs typeface="Segoe UI Light" panose="020B0502040204020203" pitchFamily="34" charset="0"/>
              </a:rPr>
              <a:t>All Charts </a:t>
            </a:r>
            <a:r>
              <a:rPr lang="en-US" sz="1100" kern="0" baseline="0">
                <a:solidFill>
                  <a:schemeClr val="bg2">
                    <a:lumMod val="25000"/>
                  </a:schemeClr>
                </a:solidFill>
                <a:ea typeface="Segoe UI" pitchFamily="34" charset="0"/>
                <a:cs typeface="Segoe UI Light" panose="020B0502040204020203" pitchFamily="34" charset="0"/>
              </a:rPr>
              <a:t>tab, and then click </a:t>
            </a:r>
            <a:r>
              <a:rPr lang="en-US" sz="1100" b="1" kern="0" baseline="0">
                <a:solidFill>
                  <a:schemeClr val="bg2">
                    <a:lumMod val="25000"/>
                  </a:schemeClr>
                </a:solidFill>
                <a:ea typeface="Segoe UI" pitchFamily="34" charset="0"/>
                <a:cs typeface="Segoe UI Light" panose="020B0502040204020203" pitchFamily="34" charset="0"/>
              </a:rPr>
              <a:t>Combo</a:t>
            </a:r>
            <a:r>
              <a:rPr lang="en-US" sz="1100" kern="0" baseline="0">
                <a:solidFill>
                  <a:schemeClr val="bg2">
                    <a:lumMod val="25000"/>
                  </a:schemeClr>
                </a:solidFill>
                <a:ea typeface="Segoe UI" pitchFamily="34" charset="0"/>
                <a:cs typeface="Segoe UI Light" panose="020B0502040204020203" pitchFamily="34" charset="0"/>
              </a:rPr>
              <a:t> at the bottom. On the right, click the Secondary Axis checkbox for </a:t>
            </a:r>
            <a:r>
              <a:rPr lang="en-US" sz="1100" b="1" kern="0" baseline="0">
                <a:solidFill>
                  <a:schemeClr val="bg2">
                    <a:lumMod val="25000"/>
                  </a:schemeClr>
                </a:solidFill>
                <a:ea typeface="Segoe UI" pitchFamily="34" charset="0"/>
                <a:cs typeface="Segoe UI Light" panose="020B0502040204020203" pitchFamily="34" charset="0"/>
              </a:rPr>
              <a:t>Food sales</a:t>
            </a:r>
            <a:r>
              <a:rPr lang="en-US" sz="1100" b="0" kern="0" baseline="0">
                <a:solidFill>
                  <a:schemeClr val="bg2">
                    <a:lumMod val="25000"/>
                  </a:schemeClr>
                </a:solidFill>
                <a:ea typeface="Segoe UI" pitchFamily="34" charset="0"/>
                <a:cs typeface="Segoe UI Light" panose="020B0502040204020203" pitchFamily="34" charset="0"/>
              </a:rPr>
              <a:t>.</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pic>
        <xdr:nvPicPr>
          <xdr:cNvPr id="166" name="Graphic 263" descr="Ribbon">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71716"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5181600</xdr:colOff>
      <xdr:row>22</xdr:row>
      <xdr:rowOff>123825</xdr:rowOff>
    </xdr:to>
    <xdr:grpSp>
      <xdr:nvGrpSpPr>
        <xdr:cNvPr id="97" name="Summarize data with PivotTables"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3375" y="266700"/>
          <a:ext cx="5716905" cy="4619625"/>
          <a:chOff x="0" y="52174"/>
          <a:chExt cx="5695950" cy="4619625"/>
        </a:xfrm>
      </xdr:grpSpPr>
      <xdr:sp macro="" textlink="">
        <xdr:nvSpPr>
          <xdr:cNvPr id="98" name="Rectangle 97" descr="Background">
            <a:extLst>
              <a:ext uri="{FF2B5EF4-FFF2-40B4-BE49-F238E27FC236}">
                <a16:creationId xmlns:a16="http://schemas.microsoft.com/office/drawing/2014/main" id="{00000000-0008-0000-0A00-000062000000}"/>
              </a:ext>
            </a:extLst>
          </xdr:cNvPr>
          <xdr:cNvSpPr/>
        </xdr:nvSpPr>
        <xdr:spPr>
          <a:xfrm>
            <a:off x="0" y="52174"/>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9" name="Step" descr="Summarize data with PivotTables">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2400" kern="0">
                <a:solidFill>
                  <a:schemeClr val="bg2">
                    <a:lumMod val="25000"/>
                  </a:schemeClr>
                </a:solidFill>
                <a:latin typeface="Segoe UI Light" panose="020B0502040204020203" pitchFamily="34" charset="0"/>
                <a:ea typeface="Segoe UI" pitchFamily="34" charset="0"/>
                <a:cs typeface="Segoe UI Light" panose="020B0502040204020203" pitchFamily="34" charset="0"/>
              </a:rPr>
              <a:t>Summarize data with PivotTables</a:t>
            </a:r>
            <a:endParaRPr lang="en-US" sz="24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xnSp macro="">
        <xdr:nvCxnSpPr>
          <xdr:cNvPr id="100" name="Straight Connector 99" descr="Decorative line">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Next Button" descr="Dive down for more detail">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395790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xnSp macro="">
        <xdr:nvCxnSpPr>
          <xdr:cNvPr id="102" name="Straight Connector 101" descr="Decorative line">
            <a:extLst>
              <a:ext uri="{FF2B5EF4-FFF2-40B4-BE49-F238E27FC236}">
                <a16:creationId xmlns:a16="http://schemas.microsoft.com/office/drawing/2014/main" id="{00000000-0008-0000-0A00-000066000000}"/>
              </a:ext>
            </a:extLst>
          </xdr:cNvPr>
          <xdr:cNvCxnSpPr>
            <a:cxnSpLocks/>
          </xdr:cNvCxnSpPr>
        </xdr:nvCxnSpPr>
        <xdr:spPr>
          <a:xfrm>
            <a:off x="234924" y="373362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67000000}"/>
              </a:ext>
            </a:extLst>
          </xdr:cNvPr>
          <xdr:cNvSpPr/>
        </xdr:nvSpPr>
        <xdr:spPr>
          <a:xfrm>
            <a:off x="4293870" y="395790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04" name="Step" descr="Look at the Date, Salesperson, Product and Amount columns. Can you quickly identify which product is the most profitable? Or which salesperson is the leading seller? That’s where the PivotTable below can help">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Look at the Date, Salesperson, Product and Amount columns. Can you quickly identify which product is the most profitable? Or which salesperson is the leading seller? That’s where the PivotTable below can help.</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06" name="Step" descr="When we created the PivotTable, we clicked a few buttons so that the data could be summarized. Now we know which product is the most profitable">
            <a:extLst>
              <a:ext uri="{FF2B5EF4-FFF2-40B4-BE49-F238E27FC236}">
                <a16:creationId xmlns:a16="http://schemas.microsoft.com/office/drawing/2014/main" id="{00000000-0008-0000-0A00-00006A000000}"/>
              </a:ext>
            </a:extLst>
          </xdr:cNvPr>
          <xdr:cNvSpPr txBox="1"/>
        </xdr:nvSpPr>
        <xdr:spPr>
          <a:xfrm>
            <a:off x="638783" y="148380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we created the PivotTable, we clicked a few buttons so that the data could be summarized. Now we know which product is the most profitable.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231749" y="14413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08" name="Step"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198845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pivot the data so that you can find out which salesperson is the leading seller.  Right-click any cell inside the PivotTable,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Show Field List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231749" y="194595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0" name="Step" descr="The PivotTable Fields pane appears. At the bottom of the pane, under Rows, click Product and then click Remove Field">
            <a:extLst>
              <a:ext uri="{FF2B5EF4-FFF2-40B4-BE49-F238E27FC236}">
                <a16:creationId xmlns:a16="http://schemas.microsoft.com/office/drawing/2014/main" id="{00000000-0008-0000-0A00-00006E000000}"/>
              </a:ext>
            </a:extLst>
          </xdr:cNvPr>
          <xdr:cNvSpPr txBox="1"/>
        </xdr:nvSpPr>
        <xdr:spPr>
          <a:xfrm>
            <a:off x="638783" y="265197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The PivotTable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Fields pane appears.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bottom of the pane, under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then click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Remove Field</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231749" y="26094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2" name="Step" descr="At the top of the pane, click the checkbox for Salesperson. Now you can see who’s the leading salesperson">
            <a:extLst>
              <a:ext uri="{FF2B5EF4-FFF2-40B4-BE49-F238E27FC236}">
                <a16:creationId xmlns:a16="http://schemas.microsoft.com/office/drawing/2014/main" id="{00000000-0008-0000-0A00-000070000000}"/>
              </a:ext>
            </a:extLst>
          </xdr:cNvPr>
          <xdr:cNvSpPr txBox="1"/>
        </xdr:nvSpPr>
        <xdr:spPr>
          <a:xfrm>
            <a:off x="638783" y="317389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Salesperson</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Now you can see who’s the leading salesperson.</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231749" y="309156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5238750</xdr:colOff>
      <xdr:row>56</xdr:row>
      <xdr:rowOff>21772</xdr:rowOff>
    </xdr:to>
    <xdr:grpSp>
      <xdr:nvGrpSpPr>
        <xdr:cNvPr id="4" name="Create a PivotTable"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0525" y="5524500"/>
          <a:ext cx="5716905" cy="5736772"/>
          <a:chOff x="390525" y="5943600"/>
          <a:chExt cx="5695950" cy="5647502"/>
        </a:xfrm>
      </xdr:grpSpPr>
      <xdr:sp macro="" textlink="">
        <xdr:nvSpPr>
          <xdr:cNvPr id="124" name="Rectangle 123" descr="Background">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5" name="Step" descr="Create a PivotTable">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kern="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rPr>
              <a:t>Create a PivotTable</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6" name="Straight Connector 125" descr="Decorative line">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Straight Connector 133" descr="Decorative line">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Step" descr="Now you’ll create the PivotTable yourself so that you know how to make one when you need to summarize data">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you’ll create the PivotTable yourself so that you know how to make one when you need to summarize data.</a:t>
            </a:r>
          </a:p>
        </xdr:txBody>
      </xdr:sp>
      <xdr:sp macro="" textlink="">
        <xdr:nvSpPr>
          <xdr:cNvPr id="128" name="Step" descr="Click a cell inside the data on the right, and then on the Insert menu, click PivotTable">
            <a:extLst>
              <a:ext uri="{FF2B5EF4-FFF2-40B4-BE49-F238E27FC236}">
                <a16:creationId xmlns:a16="http://schemas.microsoft.com/office/drawing/2014/main" id="{00000000-0008-0000-0A00-000080000000}"/>
              </a:ext>
            </a:extLst>
          </xdr:cNvPr>
          <xdr:cNvSpPr txBox="1"/>
        </xdr:nvSpPr>
        <xdr:spPr>
          <a:xfrm>
            <a:off x="1029308" y="7208787"/>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Click a cell inside the data on the right, and then on the </a:t>
            </a:r>
            <a:r>
              <a:rPr lang="en-US" sz="1100" b="1">
                <a:latin typeface="Segoe UI" panose="020B0502040204020203" pitchFamily="34" charset="0"/>
                <a:cs typeface="Segoe UI" panose="020B0502040204020203" pitchFamily="34" charset="0"/>
              </a:rPr>
              <a:t>Insert</a:t>
            </a:r>
            <a:r>
              <a:rPr lang="en-US" sz="1100">
                <a:latin typeface="Segoe UI" panose="020B0502040204020203" pitchFamily="34" charset="0"/>
                <a:cs typeface="Segoe UI" panose="020B0502040204020203" pitchFamily="34" charset="0"/>
              </a:rPr>
              <a:t> menu, click </a:t>
            </a:r>
            <a:r>
              <a:rPr lang="en-US" sz="1100" b="1">
                <a:latin typeface="Segoe UI" panose="020B0502040204020203" pitchFamily="34" charset="0"/>
                <a:cs typeface="Segoe UI" panose="020B0502040204020203" pitchFamily="34" charset="0"/>
              </a:rPr>
              <a:t>PivotTable</a:t>
            </a:r>
            <a:r>
              <a:rPr lang="en-US" sz="1100">
                <a:latin typeface="Segoe UI" panose="020B0502040204020203" pitchFamily="34" charset="0"/>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sp macro="" textlink="">
        <xdr:nvSpPr>
          <xdr:cNvPr id="130" name="Step" descr="In the dialog that appears, click Existing Worksheet, and then type C42 in the Location box. Click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In the dialog that appears, click </a:t>
            </a:r>
            <a:r>
              <a:rPr lang="en-US" sz="1100" b="1">
                <a:latin typeface="Segoe UI" panose="020B0502040204020203" pitchFamily="34" charset="0"/>
                <a:cs typeface="Segoe UI" panose="020B0502040204020203" pitchFamily="34" charset="0"/>
              </a:rPr>
              <a:t>Existing Worksheet</a:t>
            </a:r>
            <a:r>
              <a:rPr lang="en-US" sz="1100">
                <a:latin typeface="Segoe UI" panose="020B0502040204020203" pitchFamily="34" charset="0"/>
                <a:cs typeface="Segoe UI" panose="020B0502040204020203" pitchFamily="34" charset="0"/>
              </a:rPr>
              <a:t>, and then type C42 in</a:t>
            </a:r>
            <a:r>
              <a:rPr lang="en-US" sz="1100" baseline="0">
                <a:latin typeface="Segoe UI" panose="020B0502040204020203" pitchFamily="34" charset="0"/>
                <a:cs typeface="Segoe UI" panose="020B0502040204020203" pitchFamily="34" charset="0"/>
              </a:rPr>
              <a:t> the </a:t>
            </a:r>
            <a:r>
              <a:rPr lang="en-US" sz="1100" b="1" baseline="0">
                <a:latin typeface="Segoe UI" panose="020B0502040204020203" pitchFamily="34" charset="0"/>
                <a:cs typeface="Segoe UI" panose="020B0502040204020203" pitchFamily="34" charset="0"/>
              </a:rPr>
              <a:t>Location</a:t>
            </a:r>
            <a:r>
              <a:rPr lang="en-US" sz="1100" baseline="0">
                <a:latin typeface="Segoe UI" panose="020B0502040204020203" pitchFamily="34" charset="0"/>
                <a:cs typeface="Segoe UI" panose="020B0502040204020203" pitchFamily="34" charset="0"/>
              </a:rPr>
              <a:t> box. </a:t>
            </a:r>
            <a:r>
              <a:rPr lang="en-US" sz="1100">
                <a:latin typeface="Segoe UI" panose="020B0502040204020203" pitchFamily="34" charset="0"/>
                <a:cs typeface="Segoe UI" panose="020B0502040204020203" pitchFamily="34" charset="0"/>
              </a:rPr>
              <a:t>Click </a:t>
            </a:r>
            <a:r>
              <a:rPr lang="en-US" sz="1100" b="1">
                <a:latin typeface="Segoe UI" panose="020B0502040204020203" pitchFamily="34" charset="0"/>
                <a:cs typeface="Segoe UI" panose="020B0502040204020203" pitchFamily="34" charset="0"/>
              </a:rPr>
              <a:t>OK</a:t>
            </a:r>
            <a:r>
              <a:rPr lang="en-US" sz="1100">
                <a:latin typeface="Segoe UI" panose="020B0502040204020203" pitchFamily="34" charset="0"/>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sp macro="" textlink="">
        <xdr:nvSpPr>
          <xdr:cNvPr id="132" name="Step" descr="The PivotTable Fields pane appears on the right">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100">
                <a:latin typeface="Segoe UI" panose="020B0502040204020203" pitchFamily="34" charset="0"/>
                <a:cs typeface="Segoe UI" panose="020B0502040204020203" pitchFamily="34" charset="0"/>
              </a:rPr>
              <a:t>The </a:t>
            </a:r>
            <a:r>
              <a:rPr lang="en-US" sz="1100" b="1">
                <a:latin typeface="Segoe UI" panose="020B0502040204020203" pitchFamily="34" charset="0"/>
                <a:cs typeface="Segoe UI" panose="020B0502040204020203" pitchFamily="34" charset="0"/>
              </a:rPr>
              <a:t>PivotTable Fields </a:t>
            </a:r>
            <a:r>
              <a:rPr lang="en-US" sz="1100">
                <a:latin typeface="Segoe UI" panose="020B0502040204020203" pitchFamily="34" charset="0"/>
                <a:cs typeface="Segoe UI" panose="020B0502040204020203" pitchFamily="34" charset="0"/>
              </a:rPr>
              <a:t>pane appears on the right.</a:t>
            </a:r>
            <a:endParaRPr lang="en-US" sz="1100" b="1">
              <a:latin typeface="Segoe UI" panose="020B0502040204020203" pitchFamily="34" charset="0"/>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116" name="Step"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700056"/>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Product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Product field gets added to the Rows area at the bottom of the pane. And, the product data appears as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Row labels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 the new PivotTable.</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sp macro="" textlink="">
        <xdr:nvSpPr>
          <xdr:cNvPr id="118" name="Step"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703695"/>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the top of the pane, click the checkbox for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Amount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t>
            </a: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When you do that, the Amount field will get added to the Values area at the bottom of the pane. And, at the same time the amounts are totaled for each product in the PivotTable.</a:t>
            </a: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66119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5</a:t>
            </a:r>
          </a:p>
        </xdr:txBody>
      </xdr:sp>
      <xdr:sp macro="" textlink="">
        <xdr:nvSpPr>
          <xdr:cNvPr id="120" name="Step" descr="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78000000}"/>
              </a:ext>
            </a:extLst>
          </xdr:cNvPr>
          <xdr:cNvSpPr txBox="1"/>
        </xdr:nvSpPr>
        <xdr:spPr>
          <a:xfrm>
            <a:off x="1029308" y="1070898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Congratulations, you made a PivotTable. But there is a lot more you can do. So</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lick the link at the bottom of this sheet if you want to learn more.</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6664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6</a:t>
            </a:r>
          </a:p>
        </xdr:txBody>
      </xdr:sp>
      <xdr:pic>
        <xdr:nvPicPr>
          <xdr:cNvPr id="122" name="Picture 121" descr="Product checkbox">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297" t="41954" r="34689" b="37356"/>
          <a:stretch/>
        </xdr:blipFill>
        <xdr:spPr>
          <a:xfrm>
            <a:off x="4586287" y="8747096"/>
            <a:ext cx="657225" cy="171450"/>
          </a:xfrm>
          <a:prstGeom prst="rect">
            <a:avLst/>
          </a:prstGeom>
        </xdr:spPr>
      </xdr:pic>
      <xdr:pic>
        <xdr:nvPicPr>
          <xdr:cNvPr id="123" name="Picture 122" descr="Amount checkbox">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2297" t="63848" r="34689" b="15462"/>
          <a:stretch/>
        </xdr:blipFill>
        <xdr:spPr>
          <a:xfrm>
            <a:off x="4586287" y="9746266"/>
            <a:ext cx="657225" cy="171450"/>
          </a:xfrm>
          <a:prstGeom prst="rect">
            <a:avLst/>
          </a:prstGeom>
        </xdr:spPr>
      </xdr:pic>
    </xdr:grpSp>
    <xdr:clientData/>
  </xdr:twoCellAnchor>
  <xdr:twoCellAnchor editAs="oneCell">
    <xdr:from>
      <xdr:col>0</xdr:col>
      <xdr:colOff>394516</xdr:colOff>
      <xdr:row>56</xdr:row>
      <xdr:rowOff>168728</xdr:rowOff>
    </xdr:from>
    <xdr:to>
      <xdr:col>1</xdr:col>
      <xdr:colOff>5242741</xdr:colOff>
      <xdr:row>72</xdr:row>
      <xdr:rowOff>92328</xdr:rowOff>
    </xdr:to>
    <xdr:grpSp>
      <xdr:nvGrpSpPr>
        <xdr:cNvPr id="135" name="More On Web"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4516" y="11408228"/>
          <a:ext cx="5716905" cy="2971600"/>
          <a:chOff x="0" y="1"/>
          <a:chExt cx="5695950" cy="3005750"/>
        </a:xfrm>
      </xdr:grpSpPr>
      <xdr:sp macro="" textlink="">
        <xdr:nvSpPr>
          <xdr:cNvPr id="136" name="Rectangle 135" descr="Background">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37" name="Step" descr="More information on the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38" name="Straight Connector 137" descr="Decorative line">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Next Button" descr="Back to top, hyperlinked to cell A1">
            <a:hlinkClick xmlns:r="http://schemas.openxmlformats.org/officeDocument/2006/relationships" r:id="rId4" tooltip="Select to go back to cell A1 in this worksheet"/>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xnSp macro="">
        <xdr:nvCxnSpPr>
          <xdr:cNvPr id="140" name="Straight Connector 139" descr="Decorative line">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 step</a:t>
            </a:r>
          </a:p>
        </xdr:txBody>
      </xdr:sp>
      <xdr:sp macro="" textlink="">
        <xdr:nvSpPr>
          <xdr:cNvPr id="142" name="Step" descr="Create a PivotTable to analyze worksheet data, hyperlinked to web">
            <a:hlinkClick xmlns:r="http://schemas.openxmlformats.org/officeDocument/2006/relationships" r:id="rId5" tooltip="Select to learn creating a PivotTable to analyze worksheet data from the web"/>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PivotTable to analyze worksheet data</a:t>
            </a:r>
          </a:p>
        </xdr:txBody>
      </xdr:sp>
      <xdr:pic>
        <xdr:nvPicPr>
          <xdr:cNvPr id="143" name="Graphic 22" descr="Arrow">
            <a:hlinkClick xmlns:r="http://schemas.openxmlformats.org/officeDocument/2006/relationships" r:id="rId5" tooltip="Select to learn more from the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Step" descr="Use the Field List to arrange fields in a PivotTable, hyperlinked to web">
            <a:hlinkClick xmlns:r="http://schemas.openxmlformats.org/officeDocument/2006/relationships" r:id="rId8" tooltip="Select to learn about using the Field List to arrange fields in a PivotTable from the web"/>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the Field List to arrange fields in a PivotTable</a:t>
            </a:r>
          </a:p>
        </xdr:txBody>
      </xdr:sp>
      <xdr:pic>
        <xdr:nvPicPr>
          <xdr:cNvPr id="145" name="Graphic 22" descr="Arrow">
            <a:hlinkClick xmlns:r="http://schemas.openxmlformats.org/officeDocument/2006/relationships" r:id="rId8" tooltip="Select to learn more from the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852537</xdr:colOff>
      <xdr:row>13</xdr:row>
      <xdr:rowOff>72761</xdr:rowOff>
    </xdr:to>
    <xdr:grpSp>
      <xdr:nvGrpSpPr>
        <xdr:cNvPr id="2" name="PivotTable Arrow" descr="Arrow pointing towards Pivot Table">
          <a:extLst>
            <a:ext uri="{FF2B5EF4-FFF2-40B4-BE49-F238E27FC236}">
              <a16:creationId xmlns:a16="http://schemas.microsoft.com/office/drawing/2014/main" id="{00000000-0008-0000-0A00-000002000000}"/>
            </a:ext>
          </a:extLst>
        </xdr:cNvPr>
        <xdr:cNvGrpSpPr/>
      </xdr:nvGrpSpPr>
      <xdr:grpSpPr>
        <a:xfrm>
          <a:off x="6829425" y="2451566"/>
          <a:ext cx="1429752" cy="669195"/>
          <a:chOff x="6810375" y="2584916"/>
          <a:chExt cx="1404987" cy="669195"/>
        </a:xfrm>
      </xdr:grpSpPr>
      <xdr:sp macro="" textlink="">
        <xdr:nvSpPr>
          <xdr:cNvPr id="69" name="Arc 68" descr="Arrow">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70" name="Step" descr="PivotTable">
            <a:extLst>
              <a:ext uri="{FF2B5EF4-FFF2-40B4-BE49-F238E27FC236}">
                <a16:creationId xmlns:a16="http://schemas.microsoft.com/office/drawing/2014/main" id="{00000000-0008-0000-0A00-000046000000}"/>
              </a:ext>
            </a:extLst>
          </xdr:cNvPr>
          <xdr:cNvSpPr txBox="1"/>
        </xdr:nvSpPr>
        <xdr:spPr>
          <a:xfrm>
            <a:off x="6810375" y="285115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PivotTable</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6</xdr:col>
      <xdr:colOff>50651</xdr:colOff>
      <xdr:row>14</xdr:row>
      <xdr:rowOff>83872</xdr:rowOff>
    </xdr:to>
    <xdr:cxnSp macro="">
      <xdr:nvCxnSpPr>
        <xdr:cNvPr id="44" name="Straight Connector 43" descr="Decorative line">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6</xdr:col>
      <xdr:colOff>184462</xdr:colOff>
      <xdr:row>28</xdr:row>
      <xdr:rowOff>110803</xdr:rowOff>
    </xdr:to>
    <xdr:grpSp>
      <xdr:nvGrpSpPr>
        <xdr:cNvPr id="8" name="Group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0B5BCAF4-F100-4FAC-ABBE-24D74C2FDEF9}"/>
            </a:ext>
          </a:extLst>
        </xdr:cNvPr>
        <xdr:cNvGrpSpPr/>
      </xdr:nvGrpSpPr>
      <xdr:grpSpPr>
        <a:xfrm>
          <a:off x="171451" y="285750"/>
          <a:ext cx="9583731" cy="5730553"/>
          <a:chOff x="171451" y="285750"/>
          <a:chExt cx="9309411" cy="5730553"/>
        </a:xfrm>
      </xdr:grpSpPr>
      <xdr:grpSp>
        <xdr:nvGrpSpPr>
          <xdr:cNvPr id="7" name="Group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730553"/>
            <a:chOff x="171451" y="285750"/>
            <a:chExt cx="9309411" cy="5730553"/>
          </a:xfrm>
        </xdr:grpSpPr>
        <xdr:grpSp>
          <xdr:nvGrpSpPr>
            <xdr:cNvPr id="3" name="Group 2">
              <a:extLst>
                <a:ext uri="{FF2B5EF4-FFF2-40B4-BE49-F238E27FC236}">
                  <a16:creationId xmlns:a16="http://schemas.microsoft.com/office/drawing/2014/main" id="{2D3AF418-A094-466E-AB09-35BE09D72168}"/>
                </a:ext>
              </a:extLst>
            </xdr:cNvPr>
            <xdr:cNvGrpSpPr/>
          </xdr:nvGrpSpPr>
          <xdr:grpSpPr>
            <a:xfrm>
              <a:off x="171451" y="285750"/>
              <a:ext cx="9309411" cy="5730553"/>
              <a:chOff x="171451" y="285750"/>
              <a:chExt cx="9309411" cy="5730553"/>
            </a:xfrm>
          </xdr:grpSpPr>
          <xdr:sp macro="" textlink="">
            <xdr:nvSpPr>
              <xdr:cNvPr id="27" name="Rectangle 26" descr="Background">
                <a:extLst>
                  <a:ext uri="{FF2B5EF4-FFF2-40B4-BE49-F238E27FC236}">
                    <a16:creationId xmlns:a16="http://schemas.microsoft.com/office/drawing/2014/main" id="{8856A1CF-C007-4B5A-86B7-F041D589198F}"/>
                  </a:ext>
                </a:extLst>
              </xdr:cNvPr>
              <xdr:cNvSpPr/>
            </xdr:nvSpPr>
            <xdr:spPr>
              <a:xfrm>
                <a:off x="171451" y="285750"/>
                <a:ext cx="9299853" cy="5730552"/>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27" descr="Background">
                <a:extLst>
                  <a:ext uri="{FF2B5EF4-FFF2-40B4-BE49-F238E27FC236}">
                    <a16:creationId xmlns:a16="http://schemas.microsoft.com/office/drawing/2014/main" id="{B10C30BB-E92E-46F6-BF4F-711FFD237B75}"/>
                  </a:ext>
                </a:extLst>
              </xdr:cNvPr>
              <xdr:cNvSpPr/>
            </xdr:nvSpPr>
            <xdr:spPr>
              <a:xfrm>
                <a:off x="171451" y="1332861"/>
                <a:ext cx="9309411" cy="468344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31" name="Welcome Message" descr="Keep going. There are lots more ways to simplify your work:">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32" name="Welcome Message" descr="More questions about Excel?">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More questions about Excel?</a:t>
              </a:r>
              <a:endParaRPr lang="en-US" sz="2600" b="0">
                <a:latin typeface="Segoe UI Light" pitchFamily="34" charset="0"/>
                <a:ea typeface="Segoe UI" pitchFamily="34" charset="0"/>
                <a:cs typeface="Segoe UI" pitchFamily="34" charset="0"/>
              </a:endParaRPr>
            </a:p>
          </xdr:txBody>
        </xdr:sp>
        <xdr:pic>
          <xdr:nvPicPr>
            <xdr:cNvPr id="41" name="Picture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2219858" y="1573643"/>
              <a:ext cx="685267" cy="789547"/>
            </a:xfrm>
            <a:prstGeom prst="rect">
              <a:avLst/>
            </a:prstGeom>
          </xdr:spPr>
        </xdr:pic>
        <xdr:sp macro="" textlink="">
          <xdr:nvSpPr>
            <xdr:cNvPr id="42" name="Welcome Message" descr="Click the Tell Me button and type what you want to know">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Click the </a:t>
              </a:r>
              <a:r>
                <a:rPr lang="en-US" sz="1600" b="0" i="0" baseline="0">
                  <a:solidFill>
                    <a:srgbClr val="217346"/>
                  </a:solidFill>
                  <a:effectLst/>
                  <a:latin typeface="Segoe UI Semibold" panose="020B0702040204020203" pitchFamily="34" charset="0"/>
                  <a:ea typeface="Segoe UI" pitchFamily="34" charset="0"/>
                  <a:cs typeface="Segoe UI Semibold" panose="020B0702040204020203" pitchFamily="34" charset="0"/>
                </a:rPr>
                <a:t>Help                  </a:t>
              </a:r>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button to find out more about Excel.</a:t>
              </a:r>
            </a:p>
          </xdr:txBody>
        </xdr:sp>
        <xdr:cxnSp macro="">
          <xdr:nvCxnSpPr>
            <xdr:cNvPr id="45" name="Straight Connector 44" descr="Decorative line">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descr="Learn more">
              <a:hlinkClick xmlns:r="http://schemas.openxmlformats.org/officeDocument/2006/relationships" r:id="rId2" tooltip="Select to learn more"/>
              <a:extLst>
                <a:ext uri="{FF2B5EF4-FFF2-40B4-BE49-F238E27FC236}">
                  <a16:creationId xmlns:a16="http://schemas.microsoft.com/office/drawing/2014/main" id="{66C3B3BB-A6A3-4CC8-9475-F3402CDF6730}"/>
                </a:ext>
              </a:extLst>
            </xdr:cNvPr>
            <xdr:cNvSpPr txBox="1"/>
          </xdr:nvSpPr>
          <xdr:spPr>
            <a:xfrm>
              <a:off x="2038350"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39" name="TextBox 38" descr="Learn more">
              <a:hlinkClick xmlns:r="http://schemas.openxmlformats.org/officeDocument/2006/relationships" r:id="rId3" tooltip="Select to learn more"/>
              <a:extLst>
                <a:ext uri="{FF2B5EF4-FFF2-40B4-BE49-F238E27FC236}">
                  <a16:creationId xmlns:a16="http://schemas.microsoft.com/office/drawing/2014/main" id="{F204882E-8102-4F0D-94C6-6A7BA4A9910A}"/>
                </a:ext>
              </a:extLst>
            </xdr:cNvPr>
            <xdr:cNvSpPr txBox="1"/>
          </xdr:nvSpPr>
          <xdr:spPr>
            <a:xfrm>
              <a:off x="4891548" y="43303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0" name="TextBox 39" descr="Learn more">
              <a:hlinkClick xmlns:r="http://schemas.openxmlformats.org/officeDocument/2006/relationships" r:id="rId4" tooltip="Select to learn more"/>
              <a:extLst>
                <a:ext uri="{FF2B5EF4-FFF2-40B4-BE49-F238E27FC236}">
                  <a16:creationId xmlns:a16="http://schemas.microsoft.com/office/drawing/2014/main" id="{2E432F11-D4FE-4736-8D68-2D1E8279A7EF}"/>
                </a:ext>
              </a:extLst>
            </xdr:cNvPr>
            <xdr:cNvSpPr txBox="1"/>
          </xdr:nvSpPr>
          <xdr:spPr>
            <a:xfrm>
              <a:off x="7805492"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48" name="TextBox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4891548" y="33242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50" name="TextBox 49" descr="LinkedIn Learning&#10;Video courses for all levels—from beginner to advanced. Take at your own pace">
              <a:extLst>
                <a:ext uri="{FF2B5EF4-FFF2-40B4-BE49-F238E27FC236}">
                  <a16:creationId xmlns:a16="http://schemas.microsoft.com/office/drawing/2014/main" id="{D328B2FD-D3E6-4D43-B074-1476818B0EF7}"/>
                </a:ext>
              </a:extLst>
            </xdr:cNvPr>
            <xdr:cNvSpPr txBox="1"/>
          </xdr:nvSpPr>
          <xdr:spPr>
            <a:xfrm>
              <a:off x="2038350" y="33223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60" name="Picture 59" descr="Computer">
              <a:extLst>
                <a:ext uri="{FF2B5EF4-FFF2-40B4-BE49-F238E27FC236}">
                  <a16:creationId xmlns:a16="http://schemas.microsoft.com/office/drawing/2014/main" id="{E84813DA-DE86-402F-8F54-6E9B73A20DF3}"/>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a:stretch/>
          </xdr:blipFill>
          <xdr:spPr>
            <a:xfrm>
              <a:off x="1104901" y="3554479"/>
              <a:ext cx="895350" cy="600076"/>
            </a:xfrm>
            <a:prstGeom prst="rect">
              <a:avLst/>
            </a:prstGeom>
          </xdr:spPr>
        </xdr:pic>
        <xdr:sp macro="" textlink="">
          <xdr:nvSpPr>
            <xdr:cNvPr id="35" name="TextBox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775335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6" name="Picture 5" descr="Community">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6"/>
            <a:stretch>
              <a:fillRect/>
            </a:stretch>
          </xdr:blipFill>
          <xdr:spPr>
            <a:xfrm>
              <a:off x="3952875" y="3467216"/>
              <a:ext cx="926984" cy="774603"/>
            </a:xfrm>
            <a:prstGeom prst="rect">
              <a:avLst/>
            </a:prstGeom>
          </xdr:spPr>
        </xdr:pic>
      </xdr:grpSp>
      <xdr:grpSp>
        <xdr:nvGrpSpPr>
          <xdr:cNvPr id="57" name="Group 56" descr="What else is new?">
            <a:extLst>
              <a:ext uri="{FF2B5EF4-FFF2-40B4-BE49-F238E27FC236}">
                <a16:creationId xmlns:a16="http://schemas.microsoft.com/office/drawing/2014/main" id="{35226574-39A3-4CB2-966D-E8376FD2852E}"/>
              </a:ext>
            </a:extLst>
          </xdr:cNvPr>
          <xdr:cNvGrpSpPr/>
        </xdr:nvGrpSpPr>
        <xdr:grpSpPr>
          <a:xfrm>
            <a:off x="6717588" y="3461037"/>
            <a:ext cx="974505" cy="786961"/>
            <a:chOff x="6717588" y="3592566"/>
            <a:chExt cx="974505" cy="786961"/>
          </a:xfrm>
        </xdr:grpSpPr>
        <xdr:pic>
          <xdr:nvPicPr>
            <xdr:cNvPr id="49" name="Graphic 48" descr="Newspaper">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73201" y="3769928"/>
              <a:ext cx="669283" cy="609599"/>
            </a:xfrm>
            <a:prstGeom prst="rect">
              <a:avLst/>
            </a:prstGeom>
          </xdr:spPr>
        </xdr:pic>
        <xdr:grpSp>
          <xdr:nvGrpSpPr>
            <xdr:cNvPr id="56" name="Group 55" descr="Radiating lines">
              <a:extLst>
                <a:ext uri="{FF2B5EF4-FFF2-40B4-BE49-F238E27FC236}">
                  <a16:creationId xmlns:a16="http://schemas.microsoft.com/office/drawing/2014/main" id="{702F2F78-B7B0-446F-ADB3-8EAA3C241065}"/>
                </a:ext>
              </a:extLst>
            </xdr:cNvPr>
            <xdr:cNvGrpSpPr/>
          </xdr:nvGrpSpPr>
          <xdr:grpSpPr>
            <a:xfrm>
              <a:off x="6717588" y="3592566"/>
              <a:ext cx="974505" cy="414995"/>
              <a:chOff x="6717588" y="3592566"/>
              <a:chExt cx="974505" cy="414995"/>
            </a:xfrm>
          </xdr:grpSpPr>
          <xdr:cxnSp macro="">
            <xdr:nvCxnSpPr>
              <xdr:cNvPr id="51" name="Straight Connector 50" descr="Line">
                <a:extLst>
                  <a:ext uri="{FF2B5EF4-FFF2-40B4-BE49-F238E27FC236}">
                    <a16:creationId xmlns:a16="http://schemas.microsoft.com/office/drawing/2014/main" id="{4E4B0BC5-F4EF-4B17-9BC9-928C6C7A1917}"/>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descr="Line">
                <a:extLst>
                  <a:ext uri="{FF2B5EF4-FFF2-40B4-BE49-F238E27FC236}">
                    <a16:creationId xmlns:a16="http://schemas.microsoft.com/office/drawing/2014/main" id="{1DB0966E-6679-4153-8A81-5FC1D77A9317}"/>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Straight Connector 52" descr="Line">
                <a:extLst>
                  <a:ext uri="{FF2B5EF4-FFF2-40B4-BE49-F238E27FC236}">
                    <a16:creationId xmlns:a16="http://schemas.microsoft.com/office/drawing/2014/main" id="{785AF8A8-DB25-40D0-8463-CC3E4A650C35}"/>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descr="Line">
                <a:extLst>
                  <a:ext uri="{FF2B5EF4-FFF2-40B4-BE49-F238E27FC236}">
                    <a16:creationId xmlns:a16="http://schemas.microsoft.com/office/drawing/2014/main" id="{2764F156-2AF3-4295-9B33-3D4D4509F5DC}"/>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descr="Line">
                <a:extLst>
                  <a:ext uri="{FF2B5EF4-FFF2-40B4-BE49-F238E27FC236}">
                    <a16:creationId xmlns:a16="http://schemas.microsoft.com/office/drawing/2014/main" id="{03A6D3CA-91BC-4116-BBDA-6D02B692FB69}"/>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5175.410247569445" createdVersion="6" refreshedVersion="8" minRefreshableVersion="3" recordCount="6" xr:uid="{00000000-000A-0000-FFFF-FFFF00000000}">
  <cacheSource type="worksheet">
    <worksheetSource name="PivotTableData"/>
  </cacheSource>
  <cacheFields count="4">
    <cacheField name="Date" numFmtId="14">
      <sharedItems containsSemiMixedTypes="0" containsNonDate="0" containsDate="1" containsString="0" minDate="2023-07-11T00:00:00" maxDate="2023-09-07T00:00:00"/>
    </cacheField>
    <cacheField name="Salesperson" numFmtId="0">
      <sharedItems/>
    </cacheField>
    <cacheField name="Product" numFmtId="0">
      <sharedItems count="3">
        <s v="Beer"/>
        <s v="Wine"/>
        <s v="Soda"/>
      </sharedItems>
    </cacheField>
    <cacheField name="Amount" numFmtId="166">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3-07-11T00:00:00"/>
    <s v="Anne"/>
    <x v="0"/>
    <n v="1400"/>
  </r>
  <r>
    <d v="2023-07-16T00:00:00"/>
    <s v="Mark"/>
    <x v="1"/>
    <n v="1010"/>
  </r>
  <r>
    <d v="2023-08-02T00:00:00"/>
    <s v="Anne"/>
    <x v="0"/>
    <n v="750"/>
  </r>
  <r>
    <d v="2023-08-06T00:00:00"/>
    <s v="Mark"/>
    <x v="2"/>
    <n v="510"/>
  </r>
  <r>
    <d v="2023-08-26T00:00:00"/>
    <s v="Mariya"/>
    <x v="2"/>
    <n v="1600"/>
  </r>
  <r>
    <d v="2023-09-06T00:00:00"/>
    <s v="Laur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Sample" cacheId="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4">
        <item x="0"/>
        <item x="2"/>
        <item x="1"/>
        <item t="default"/>
      </items>
    </pivotField>
    <pivotField dataField="1" numFmtId="168" subtotalTop="0" showAll="0"/>
  </pivotFields>
  <rowFields count="1">
    <field x="2"/>
  </rowFields>
  <rowItems count="4">
    <i>
      <x/>
    </i>
    <i>
      <x v="1"/>
    </i>
    <i>
      <x v="2"/>
    </i>
    <i t="grand">
      <x/>
    </i>
  </rowItems>
  <colItems count="1">
    <i/>
  </colItems>
  <dataFields count="1">
    <dataField name="Sum of Amount" fld="3" baseField="2" baseItem="1" numFmtId="164"/>
  </dataFields>
  <formats count="1">
    <format dxfId="4">
      <pivotArea outline="0" collapsedLevelsAreSubtotals="1"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altTextSummary="Sample PivotTable"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Sort" displayName="Sort" ref="C31:F37">
  <autoFilter ref="C31:F37" xr:uid="{00000000-0009-0000-0100-00000C000000}"/>
  <tableColumns count="4">
    <tableColumn id="1" xr3:uid="{00000000-0010-0000-0000-000001000000}" name="Expense date" totalsRowLabel="Total" dataCellStyle="Date"/>
    <tableColumn id="2" xr3:uid="{00000000-0010-0000-0000-000002000000}" name="Employee"/>
    <tableColumn id="4" xr3:uid="{00000000-0010-0000-0000-000004000000}" name="Food"/>
    <tableColumn id="5" xr3:uid="{00000000-0010-0000-00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Sort by date, or by color sample table with four columns: Expense date, Employee, Food, and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er" displayName="Filter" ref="C49:F55">
  <autoFilter ref="C49:F55" xr:uid="{00000000-0009-0000-0100-00000D000000}"/>
  <tableColumns count="4">
    <tableColumn id="1" xr3:uid="{00000000-0010-0000-0100-000001000000}" name="Expense date" totalsRowLabel="Total" dataCellStyle="Date"/>
    <tableColumn id="2" xr3:uid="{00000000-0010-0000-0100-000002000000}" name="Employee"/>
    <tableColumn id="4" xr3:uid="{00000000-0010-0000-0100-000004000000}" name="Food"/>
    <tableColumn id="5" xr3:uid="{00000000-0010-0000-0100-000005000000}" name="Hotel" totalsRowFunction="sum"/>
  </tableColumns>
  <tableStyleInfo name="CustomTableStyle" showFirstColumn="0" showLastColumn="0" showRowStripes="1" showColumnStripes="0"/>
  <extLst>
    <ext xmlns:x14="http://schemas.microsoft.com/office/spreadsheetml/2009/9/main" uri="{504A1905-F514-4f6f-8877-14C23A59335A}">
      <x14:table altTextSummary="More ways to filter data sample table with four columns: Expense date, Employee, Food, and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lculatedColumns" displayName="CalculatedColumns" ref="C33:H41" totalsRowShown="0">
  <autoFilter ref="C33:H41" xr:uid="{00000000-0009-0000-0100-000002000000}"/>
  <tableColumns count="6">
    <tableColumn id="1" xr3:uid="{00000000-0010-0000-0200-000001000000}" name="Department"/>
    <tableColumn id="2" xr3:uid="{00000000-0010-0000-0200-000002000000}" name="Category"/>
    <tableColumn id="3" xr3:uid="{00000000-0010-0000-0200-000003000000}" name="Oct"/>
    <tableColumn id="4" xr3:uid="{00000000-0010-0000-0200-000004000000}" name="Nov"/>
    <tableColumn id="5" xr3:uid="{00000000-0010-0000-0200-000005000000}" name="Dec"/>
    <tableColumn id="6" xr3:uid="{00000000-0010-0000-0200-000006000000}" name="Total" dataDxfId="7"/>
  </tableColumns>
  <tableStyleInfo name="CustomTableStyle" showFirstColumn="0" showLastColumn="0" showRowStripes="1" showColumnStripes="0"/>
  <extLst>
    <ext xmlns:x14="http://schemas.microsoft.com/office/spreadsheetml/2009/9/main" uri="{504A1905-F514-4f6f-8877-14C23A59335A}">
      <x14:table altTextSummary="Sample table for illustrating calculated columns in table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otalRows" displayName="TotalRows" ref="C53:E61">
  <autoFilter ref="C53:E61" xr:uid="{00000000-0009-0000-0100-000003000000}"/>
  <tableColumns count="3">
    <tableColumn id="1" xr3:uid="{00000000-0010-0000-0300-000001000000}" name="Department" totalsRowLabel="Total"/>
    <tableColumn id="2" xr3:uid="{00000000-0010-0000-0300-000002000000}" name="Category"/>
    <tableColumn id="6" xr3:uid="{00000000-0010-0000-0300-000006000000}" name="Sales" totalsRowFunction="sum" totalsRowDxfId="6"/>
  </tableColumns>
  <tableStyleInfo name="CustomTableStyle" showFirstColumn="0" showLastColumn="0" showRowStripes="1" showColumnStripes="0"/>
  <extLst>
    <ext xmlns:x14="http://schemas.microsoft.com/office/spreadsheetml/2009/9/main" uri="{504A1905-F514-4f6f-8877-14C23A59335A}">
      <x14:table altTextSummary="Sample table for illustrating total rows in table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AnalyzeData" displayName="AnalyzeData" ref="C5:G13" totalsRowShown="0">
  <autoFilter ref="C5:G13" xr:uid="{00000000-0009-0000-0100-000010000000}"/>
  <tableColumns count="5">
    <tableColumn id="1" xr3:uid="{00000000-0010-0000-0400-000001000000}" name="Department"/>
    <tableColumn id="2" xr3:uid="{00000000-0010-0000-0400-000002000000}" name="Category"/>
    <tableColumn id="3" xr3:uid="{00000000-0010-0000-0400-000003000000}" name="Oct"/>
    <tableColumn id="4" xr3:uid="{00000000-0010-0000-0400-000004000000}" name="Nov"/>
    <tableColumn id="5" xr3:uid="{00000000-0010-0000-0400-000005000000}" name="Dec"/>
  </tableColumns>
  <tableStyleInfo name="CustomTableStyle" showFirstColumn="0" showLastColumn="0" showRowStripes="1" showColumnStripes="0"/>
  <extLst>
    <ext xmlns:x14="http://schemas.microsoft.com/office/spreadsheetml/2009/9/main" uri="{504A1905-F514-4f6f-8877-14C23A59335A}">
      <x14:table altTextSummary="Quick Analysis table for filtering data. This sample data has Department, Category, Oct, Nov, and Dec amounts with sample data"/>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ChartData" displayName="ChartData" ref="C34:G42">
  <autoFilter ref="C34:G42" xr:uid="{00000000-0009-0000-0100-000011000000}"/>
  <tableColumns count="5">
    <tableColumn id="1" xr3:uid="{00000000-0010-0000-0500-000001000000}" name="Department" totalsRowLabel="Total"/>
    <tableColumn id="2" xr3:uid="{00000000-0010-0000-0500-000002000000}" name="Category"/>
    <tableColumn id="3" xr3:uid="{00000000-0010-0000-0500-000003000000}" name="Oct"/>
    <tableColumn id="4" xr3:uid="{00000000-0010-0000-0500-000004000000}" name="Nov"/>
    <tableColumn id="5" xr3:uid="{00000000-0010-0000-0500-000005000000}" name="Dec" totalsRowFunction="sum"/>
  </tableColumns>
  <tableStyleInfo name="CustomTableStyle" showFirstColumn="0" showLastColumn="0" showRowStripes="1" showColumnStripes="0"/>
  <extLst>
    <ext xmlns:x14="http://schemas.microsoft.com/office/spreadsheetml/2009/9/main" uri="{504A1905-F514-4f6f-8877-14C23A59335A}">
      <x14:table altTextSummary="Quickly make a chart sample table with five columns: Department, Category, Oct, Nov, and Dec"/>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SparklineData" displayName="SparklineData" ref="C54:G62">
  <autoFilter ref="C54:G62" xr:uid="{00000000-0009-0000-0100-000013000000}"/>
  <tableColumns count="5">
    <tableColumn id="1" xr3:uid="{00000000-0010-0000-0600-000001000000}" name="Department" totalsRowLabel="Total"/>
    <tableColumn id="2" xr3:uid="{00000000-0010-0000-0600-000002000000}" name="Category"/>
    <tableColumn id="3" xr3:uid="{00000000-0010-0000-0600-000003000000}" name="Oct"/>
    <tableColumn id="4" xr3:uid="{00000000-0010-0000-0600-000004000000}" name="Nov"/>
    <tableColumn id="5" xr3:uid="{00000000-0010-0000-0600-000005000000}" name="Dec" totalsRowFunction="sum"/>
  </tableColumns>
  <tableStyleInfo name="CustomTableStyle" showFirstColumn="0" showLastColumn="0" showRowStripes="1" showColumnStripes="0"/>
  <extLst>
    <ext xmlns:x14="http://schemas.microsoft.com/office/spreadsheetml/2009/9/main" uri="{504A1905-F514-4f6f-8877-14C23A59335A}">
      <x14:table altTextSummary="Quickly make sparklines sample table with five columns: Department, Category, Oct, Nov, and Dec."/>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RecommendedChartData" displayName="RecommendedChartData" ref="C5:D11" totalsRowShown="0">
  <autoFilter ref="C5:D11" xr:uid="{00000000-0009-0000-0100-000018000000}"/>
  <tableColumns count="2">
    <tableColumn id="1" xr3:uid="{00000000-0010-0000-0700-000001000000}" name="Year"/>
    <tableColumn id="2" xr3:uid="{00000000-0010-0000-0700-000002000000}" name="Conference attendance"/>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RecommendedChartData2" displayName="RecommendedChartData2" ref="D67:F73" totalsRowShown="0">
  <autoFilter ref="D67:F73" xr:uid="{00000000-0009-0000-0100-00001A000000}"/>
  <tableColumns count="3">
    <tableColumn id="1" xr3:uid="{00000000-0010-0000-0800-000001000000}" name="Date" dataCellStyle="Year"/>
    <tableColumn id="2" xr3:uid="{00000000-0010-0000-0800-000002000000}" name="Conference attendance"/>
    <tableColumn id="3" xr3:uid="{00000000-0010-0000-0800-000003000000}" name="Food sales" dataDxfId="5"/>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PivotTableData" displayName="PivotTableData" ref="C3:F9" totalsRowShown="0">
  <autoFilter ref="C3:F9" xr:uid="{00000000-0009-0000-0100-00001E000000}"/>
  <tableColumns count="4">
    <tableColumn id="1" xr3:uid="{00000000-0010-0000-0900-000001000000}" name="Date" dataCellStyle="Date"/>
    <tableColumn id="2" xr3:uid="{00000000-0010-0000-0900-000002000000}" name="Salesperson"/>
    <tableColumn id="3" xr3:uid="{00000000-0010-0000-0900-000003000000}" name="Product"/>
    <tableColumn id="4" xr3:uid="{00000000-0010-0000-0900-000004000000}" name="Amount" dataDxfId="3"/>
  </tableColumns>
  <tableStyleInfo name="CustomTableStyle" showFirstColumn="0" showLastColumn="0" showRowStripes="1" showColumnStripes="0"/>
  <extLst>
    <ext xmlns:x14="http://schemas.microsoft.com/office/spreadsheetml/2009/9/main" uri="{504A1905-F514-4f6f-8877-14C23A59335A}">
      <x14:table altTextSummary="Sample table for summarizing data with PivotTable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PivotTableData2" displayName="PivotTableData2" ref="C34:F40" totalsRowShown="0">
  <autoFilter ref="C34:F40" xr:uid="{00000000-0009-0000-0100-000005000000}"/>
  <tableColumns count="4">
    <tableColumn id="1" xr3:uid="{00000000-0010-0000-0A00-000001000000}" name="Date" dataDxfId="2" dataCellStyle="Date"/>
    <tableColumn id="2" xr3:uid="{00000000-0010-0000-0A00-000002000000}" name="Salesperson"/>
    <tableColumn id="3" xr3:uid="{00000000-0010-0000-0A00-000003000000}" name="Product"/>
    <tableColumn id="4" xr3:uid="{00000000-0010-0000-0A00-000004000000}" name="Amount" dataDxfId="1"/>
  </tableColumns>
  <tableStyleInfo name="CustomTableStyle" showFirstColumn="0" showLastColumn="0" showRowStripes="1" showColumnStripes="0"/>
  <extLst>
    <ext xmlns:x14="http://schemas.microsoft.com/office/spreadsheetml/2009/9/main" uri="{504A1905-F514-4f6f-8877-14C23A59335A}">
      <x14:table altTextSummary="Create a PivotTable sample table with four columns: Date, Salesperson, Product, and Amou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go.microsoft.com/fwlink/?linkid=844737"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44745" TargetMode="External"/><Relationship Id="rId1" Type="http://schemas.openxmlformats.org/officeDocument/2006/relationships/hyperlink" Target="https://go.microsoft.com/fwlink/?linkid=84474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go.microsoft.com/fwlink/?linkid=844729" TargetMode="External"/><Relationship Id="rId7" Type="http://schemas.openxmlformats.org/officeDocument/2006/relationships/printerSettings" Target="../printerSettings/printerSettings4.bin"/><Relationship Id="rId2" Type="http://schemas.openxmlformats.org/officeDocument/2006/relationships/hyperlink" Target="https://go.microsoft.com/fwlink/?linkid=844751" TargetMode="External"/><Relationship Id="rId1" Type="http://schemas.openxmlformats.org/officeDocument/2006/relationships/hyperlink" Target="https://go.microsoft.com/fwlink/?linkid=844748" TargetMode="External"/><Relationship Id="rId6" Type="http://schemas.openxmlformats.org/officeDocument/2006/relationships/hyperlink" Target="https://go.microsoft.com/fwlink/?linkid=844740" TargetMode="External"/><Relationship Id="rId5" Type="http://schemas.openxmlformats.org/officeDocument/2006/relationships/hyperlink" Target="https://go.microsoft.com/fwlink/?linkid=844736" TargetMode="External"/><Relationship Id="rId4" Type="http://schemas.openxmlformats.org/officeDocument/2006/relationships/hyperlink" Target="https://go.microsoft.com/fwlink/?linkid=844733"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o.microsoft.com/fwlink/?linkid=844743" TargetMode="External"/><Relationship Id="rId2" Type="http://schemas.openxmlformats.org/officeDocument/2006/relationships/hyperlink" Target="https://go.microsoft.com/fwlink/?linkid=844747" TargetMode="External"/><Relationship Id="rId1" Type="http://schemas.openxmlformats.org/officeDocument/2006/relationships/hyperlink" Target="https://go.microsoft.com/fwlink/?linkid=844752"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o.microsoft.com/fwlink/?linkid=844746" TargetMode="External"/><Relationship Id="rId1" Type="http://schemas.openxmlformats.org/officeDocument/2006/relationships/hyperlink" Target="https://go.microsoft.com/fwlink/?linkid=844750"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go.microsoft.com/fwlink/?linkid=844726" TargetMode="External"/><Relationship Id="rId7" Type="http://schemas.openxmlformats.org/officeDocument/2006/relationships/table" Target="../tables/table4.xml"/><Relationship Id="rId2" Type="http://schemas.openxmlformats.org/officeDocument/2006/relationships/hyperlink" Target="https://go.microsoft.com/fwlink/?linkid=844728" TargetMode="External"/><Relationship Id="rId1" Type="http://schemas.openxmlformats.org/officeDocument/2006/relationships/hyperlink" Target="https://go.microsoft.com/fwlink/?linkid=844731"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go.microsoft.com/fwlink/?linkid=844735" TargetMode="External"/><Relationship Id="rId1" Type="http://schemas.openxmlformats.org/officeDocument/2006/relationships/hyperlink" Target="https://go.microsoft.com/fwlink/?linkid=844742"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7.xml"/><Relationship Id="rId2" Type="http://schemas.openxmlformats.org/officeDocument/2006/relationships/hyperlink" Target="https://go.microsoft.com/fwlink/?linkid=844730" TargetMode="External"/><Relationship Id="rId1" Type="http://schemas.openxmlformats.org/officeDocument/2006/relationships/hyperlink" Target="https://go.microsoft.com/fwlink/?linkid=844725"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go.microsoft.com/fwlink/?linkid=844734" TargetMode="External"/><Relationship Id="rId7" Type="http://schemas.openxmlformats.org/officeDocument/2006/relationships/table" Target="../tables/table9.xml"/><Relationship Id="rId2" Type="http://schemas.openxmlformats.org/officeDocument/2006/relationships/hyperlink" Target="https://go.microsoft.com/fwlink/?linkid=844738" TargetMode="External"/><Relationship Id="rId1" Type="http://schemas.openxmlformats.org/officeDocument/2006/relationships/hyperlink" Target="https://go.microsoft.com/fwlink/?linkid=844739" TargetMode="External"/><Relationship Id="rId6" Type="http://schemas.openxmlformats.org/officeDocument/2006/relationships/table" Target="../tables/table8.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go.microsoft.com/fwlink/?linkid=844744" TargetMode="External"/><Relationship Id="rId7" Type="http://schemas.openxmlformats.org/officeDocument/2006/relationships/table" Target="../tables/table11.xml"/><Relationship Id="rId2" Type="http://schemas.openxmlformats.org/officeDocument/2006/relationships/hyperlink" Target="https://go.microsoft.com/fwlink/?linkid=844749" TargetMode="External"/><Relationship Id="rId1" Type="http://schemas.openxmlformats.org/officeDocument/2006/relationships/pivotTable" Target="../pivotTables/pivotTable1.xml"/><Relationship Id="rId6" Type="http://schemas.openxmlformats.org/officeDocument/2006/relationships/table" Target="../tables/table10.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tabSelected="1" workbookViewId="0"/>
  </sheetViews>
  <sheetFormatPr baseColWidth="10" defaultColWidth="11.109375" defaultRowHeight="20.25" customHeight="1" x14ac:dyDescent="0.3"/>
  <cols>
    <col min="1" max="1" width="129.6640625" customWidth="1"/>
    <col min="2" max="2" width="3.5546875" customWidth="1"/>
  </cols>
  <sheetData>
    <row r="1" spans="1:1" ht="15" customHeight="1" x14ac:dyDescent="0.3">
      <c r="A1" s="17" t="s">
        <v>328</v>
      </c>
    </row>
    <row r="2" spans="1:1" ht="100.8" x14ac:dyDescent="2">
      <c r="A2" s="25" t="s">
        <v>63</v>
      </c>
    </row>
    <row r="3" spans="1:1" ht="44.4" x14ac:dyDescent="0.45">
      <c r="A3" s="26" t="s">
        <v>101</v>
      </c>
    </row>
    <row r="4" spans="1:1" ht="264" customHeight="1" x14ac:dyDescent="0.3">
      <c r="A4" s="49" t="s">
        <v>346</v>
      </c>
    </row>
    <row r="5" spans="1:1" ht="20.25" customHeight="1" x14ac:dyDescent="0.45">
      <c r="A5" s="26"/>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1"/>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style="18" customWidth="1"/>
    <col min="3" max="16384" width="8.88671875" style="18"/>
  </cols>
  <sheetData>
    <row r="1" spans="1:7" ht="60" customHeight="1" x14ac:dyDescent="0.65">
      <c r="A1" s="16" t="s">
        <v>102</v>
      </c>
      <c r="B1" s="22"/>
    </row>
    <row r="2" spans="1:7" ht="15" customHeight="1" x14ac:dyDescent="0.3">
      <c r="A2" s="16" t="s">
        <v>103</v>
      </c>
    </row>
    <row r="3" spans="1:7" ht="15" customHeight="1" x14ac:dyDescent="0.3">
      <c r="A3" s="16" t="s">
        <v>104</v>
      </c>
      <c r="B3" s="23"/>
      <c r="C3" s="27" t="s">
        <v>0</v>
      </c>
      <c r="D3" s="27" t="s">
        <v>1</v>
      </c>
      <c r="F3" s="27" t="s">
        <v>6</v>
      </c>
      <c r="G3" s="27" t="s">
        <v>1</v>
      </c>
    </row>
    <row r="4" spans="1:7" ht="15" customHeight="1" x14ac:dyDescent="0.3">
      <c r="A4" s="16" t="s">
        <v>115</v>
      </c>
      <c r="C4" s="6" t="s">
        <v>2</v>
      </c>
      <c r="D4" s="6">
        <v>50</v>
      </c>
      <c r="F4" s="6" t="s">
        <v>7</v>
      </c>
      <c r="G4" s="6">
        <v>50</v>
      </c>
    </row>
    <row r="5" spans="1:7" s="19" customFormat="1" ht="15" customHeight="1" x14ac:dyDescent="0.3">
      <c r="A5" s="16" t="s">
        <v>262</v>
      </c>
      <c r="C5" s="6" t="s">
        <v>3</v>
      </c>
      <c r="D5" s="6">
        <v>20</v>
      </c>
      <c r="F5" s="6" t="s">
        <v>8</v>
      </c>
      <c r="G5" s="6">
        <v>30</v>
      </c>
    </row>
    <row r="6" spans="1:7" s="19" customFormat="1" ht="15" customHeight="1" x14ac:dyDescent="0.3">
      <c r="A6" s="16" t="s">
        <v>136</v>
      </c>
      <c r="B6" s="24"/>
      <c r="C6" s="6" t="s">
        <v>4</v>
      </c>
      <c r="D6" s="6">
        <v>60</v>
      </c>
      <c r="F6" s="6" t="s">
        <v>9</v>
      </c>
      <c r="G6" s="6">
        <v>10</v>
      </c>
    </row>
    <row r="7" spans="1:7" s="19" customFormat="1" ht="15" customHeight="1" x14ac:dyDescent="0.3">
      <c r="A7" s="16" t="s">
        <v>339</v>
      </c>
      <c r="C7" s="6" t="s">
        <v>5</v>
      </c>
      <c r="D7" s="6">
        <v>40</v>
      </c>
      <c r="F7" s="6" t="s">
        <v>10</v>
      </c>
      <c r="G7" s="6">
        <v>50</v>
      </c>
    </row>
    <row r="8" spans="1:7" s="19" customFormat="1" ht="15" customHeight="1" x14ac:dyDescent="0.3">
      <c r="A8" s="16" t="s">
        <v>273</v>
      </c>
      <c r="D8" s="7"/>
      <c r="G8" s="7"/>
    </row>
    <row r="9" spans="1:7" s="19" customFormat="1" ht="15" customHeight="1" x14ac:dyDescent="0.3">
      <c r="A9" s="16" t="s">
        <v>263</v>
      </c>
    </row>
    <row r="10" spans="1:7" s="19" customFormat="1" ht="15" customHeight="1" x14ac:dyDescent="0.3">
      <c r="A10" s="16" t="s">
        <v>274</v>
      </c>
      <c r="C10" s="27" t="s">
        <v>11</v>
      </c>
      <c r="D10" s="27" t="s">
        <v>1</v>
      </c>
      <c r="F10" s="27" t="s">
        <v>11</v>
      </c>
      <c r="G10" s="27" t="s">
        <v>1</v>
      </c>
    </row>
    <row r="11" spans="1:7" s="19" customFormat="1" ht="15" customHeight="1" x14ac:dyDescent="0.3">
      <c r="A11" s="16" t="s">
        <v>364</v>
      </c>
      <c r="C11" s="6" t="s">
        <v>12</v>
      </c>
      <c r="D11" s="6">
        <v>50</v>
      </c>
      <c r="F11" s="6" t="s">
        <v>12</v>
      </c>
      <c r="G11" s="6">
        <v>50</v>
      </c>
    </row>
    <row r="12" spans="1:7" s="19" customFormat="1" ht="15" customHeight="1" x14ac:dyDescent="0.3">
      <c r="A12" s="16" t="s">
        <v>275</v>
      </c>
      <c r="C12" s="6" t="s">
        <v>13</v>
      </c>
      <c r="D12" s="6">
        <v>100</v>
      </c>
      <c r="F12" s="6" t="s">
        <v>13</v>
      </c>
      <c r="G12" s="6">
        <v>100</v>
      </c>
    </row>
    <row r="13" spans="1:7" s="19" customFormat="1" ht="15" customHeight="1" x14ac:dyDescent="0.3">
      <c r="A13" s="16" t="s">
        <v>116</v>
      </c>
      <c r="C13" s="6" t="s">
        <v>14</v>
      </c>
      <c r="D13" s="6">
        <v>40</v>
      </c>
      <c r="F13" s="6" t="s">
        <v>14</v>
      </c>
      <c r="G13" s="6">
        <v>40</v>
      </c>
    </row>
    <row r="14" spans="1:7" s="19" customFormat="1" ht="15" customHeight="1" x14ac:dyDescent="0.3">
      <c r="A14" s="16"/>
      <c r="C14" s="6" t="s">
        <v>15</v>
      </c>
      <c r="D14" s="6">
        <v>50</v>
      </c>
      <c r="F14" s="6" t="s">
        <v>15</v>
      </c>
      <c r="G14" s="6">
        <v>50</v>
      </c>
    </row>
    <row r="15" spans="1:7" s="19" customFormat="1" ht="15" customHeight="1" thickBot="1" x14ac:dyDescent="0.35">
      <c r="A15" s="16"/>
      <c r="C15" s="6" t="s">
        <v>16</v>
      </c>
      <c r="D15" s="6">
        <v>20</v>
      </c>
      <c r="F15" s="6" t="s">
        <v>16</v>
      </c>
      <c r="G15" s="6">
        <v>20</v>
      </c>
    </row>
    <row r="16" spans="1:7" s="19" customFormat="1" ht="15" customHeight="1" thickTop="1" thickBot="1" x14ac:dyDescent="0.35">
      <c r="A16" s="16"/>
      <c r="D16" s="7"/>
      <c r="G16" s="20"/>
    </row>
    <row r="17" spans="1:1" s="19" customFormat="1" ht="15" customHeight="1" thickTop="1" x14ac:dyDescent="0.3">
      <c r="A17" s="16"/>
    </row>
    <row r="18" spans="1:1" s="19" customFormat="1" ht="15" customHeight="1" x14ac:dyDescent="0.3">
      <c r="A18" s="16"/>
    </row>
    <row r="19" spans="1:1" s="19" customFormat="1" ht="15" customHeight="1" x14ac:dyDescent="0.3">
      <c r="A19" s="16"/>
    </row>
    <row r="20" spans="1:1" s="19" customFormat="1" ht="15" customHeight="1" x14ac:dyDescent="0.3">
      <c r="A20" s="16"/>
    </row>
    <row r="21" spans="1:1" s="19" customFormat="1" ht="15" customHeight="1" x14ac:dyDescent="0.3">
      <c r="A21" s="16"/>
    </row>
    <row r="22" spans="1:1" s="19" customFormat="1" ht="15" customHeight="1" x14ac:dyDescent="0.3">
      <c r="A22" s="16"/>
    </row>
    <row r="23" spans="1:1" s="19" customFormat="1" ht="15" customHeight="1" x14ac:dyDescent="0.3">
      <c r="A23" s="16"/>
    </row>
    <row r="24" spans="1:1" s="19" customFormat="1" ht="15" customHeight="1" x14ac:dyDescent="0.3">
      <c r="A24" s="16"/>
    </row>
    <row r="27" spans="1:1" ht="15" customHeight="1" x14ac:dyDescent="0.3">
      <c r="A27" s="16" t="s">
        <v>105</v>
      </c>
    </row>
    <row r="28" spans="1:1" ht="15" customHeight="1" x14ac:dyDescent="0.3">
      <c r="A28" s="16" t="s">
        <v>106</v>
      </c>
    </row>
    <row r="29" spans="1:1" ht="15" customHeight="1" x14ac:dyDescent="0.3">
      <c r="A29" s="16" t="s">
        <v>264</v>
      </c>
    </row>
    <row r="30" spans="1:1" ht="15" customHeight="1" x14ac:dyDescent="0.3">
      <c r="A30" s="16" t="s">
        <v>265</v>
      </c>
    </row>
    <row r="31" spans="1:1" ht="15" customHeight="1" x14ac:dyDescent="0.3">
      <c r="A31" s="16" t="s">
        <v>266</v>
      </c>
    </row>
    <row r="32" spans="1:1" ht="15" customHeight="1" x14ac:dyDescent="0.3">
      <c r="A32" s="16" t="s">
        <v>107</v>
      </c>
    </row>
    <row r="33" spans="1:7" ht="15" customHeight="1" x14ac:dyDescent="0.3">
      <c r="A33" s="16" t="s">
        <v>330</v>
      </c>
    </row>
    <row r="34" spans="1:7" ht="15" customHeight="1" x14ac:dyDescent="0.3">
      <c r="A34" s="16" t="s">
        <v>267</v>
      </c>
    </row>
    <row r="35" spans="1:7" ht="15" customHeight="1" x14ac:dyDescent="0.3">
      <c r="A35" s="16" t="s">
        <v>268</v>
      </c>
    </row>
    <row r="36" spans="1:7" ht="15" customHeight="1" x14ac:dyDescent="0.3">
      <c r="A36" s="16" t="s">
        <v>365</v>
      </c>
    </row>
    <row r="37" spans="1:7" ht="15" customHeight="1" x14ac:dyDescent="0.3">
      <c r="A37" s="16" t="s">
        <v>269</v>
      </c>
      <c r="C37" s="27" t="s">
        <v>0</v>
      </c>
      <c r="D37" s="27" t="s">
        <v>1</v>
      </c>
    </row>
    <row r="38" spans="1:7" ht="15" customHeight="1" x14ac:dyDescent="0.3">
      <c r="A38" s="16" t="s">
        <v>270</v>
      </c>
      <c r="C38" s="6" t="s">
        <v>2</v>
      </c>
      <c r="D38" s="6">
        <v>50</v>
      </c>
      <c r="E38" s="19"/>
    </row>
    <row r="39" spans="1:7" ht="15" customHeight="1" x14ac:dyDescent="0.3">
      <c r="A39" s="16" t="s">
        <v>108</v>
      </c>
      <c r="C39" s="6" t="s">
        <v>3</v>
      </c>
      <c r="D39" s="6">
        <v>20</v>
      </c>
      <c r="E39" s="19"/>
    </row>
    <row r="40" spans="1:7" ht="15" customHeight="1" x14ac:dyDescent="0.3">
      <c r="A40" s="16" t="s">
        <v>271</v>
      </c>
      <c r="C40" s="6" t="s">
        <v>4</v>
      </c>
      <c r="D40" s="6">
        <v>60</v>
      </c>
      <c r="E40" s="19"/>
    </row>
    <row r="41" spans="1:7" ht="15" customHeight="1" x14ac:dyDescent="0.3">
      <c r="A41" s="16" t="s">
        <v>272</v>
      </c>
      <c r="C41" s="6" t="s">
        <v>5</v>
      </c>
      <c r="D41" s="6">
        <v>40</v>
      </c>
      <c r="E41" s="19"/>
    </row>
    <row r="42" spans="1:7" ht="15" customHeight="1" x14ac:dyDescent="0.3">
      <c r="A42" s="16" t="s">
        <v>134</v>
      </c>
      <c r="C42" s="19"/>
      <c r="D42" s="7">
        <f>SUM(D38:D41)</f>
        <v>170</v>
      </c>
      <c r="E42" s="19"/>
      <c r="F42" s="19"/>
      <c r="G42" s="19"/>
    </row>
    <row r="43" spans="1:7" ht="15" customHeight="1" x14ac:dyDescent="0.3">
      <c r="A43" s="16" t="s">
        <v>117</v>
      </c>
    </row>
    <row r="47" spans="1:7" ht="15" customHeight="1" x14ac:dyDescent="0.3">
      <c r="C47" s="27" t="s">
        <v>11</v>
      </c>
      <c r="D47" s="27" t="s">
        <v>1</v>
      </c>
      <c r="E47" s="19"/>
      <c r="F47" s="27" t="s">
        <v>11</v>
      </c>
      <c r="G47" s="27" t="s">
        <v>1</v>
      </c>
    </row>
    <row r="48" spans="1:7" ht="15" customHeight="1" x14ac:dyDescent="0.3">
      <c r="C48" s="6" t="s">
        <v>17</v>
      </c>
      <c r="D48" s="6">
        <v>20</v>
      </c>
      <c r="E48" s="19"/>
      <c r="F48" s="6" t="s">
        <v>18</v>
      </c>
      <c r="G48" s="6">
        <v>20</v>
      </c>
    </row>
    <row r="49" spans="3:7" ht="15" customHeight="1" x14ac:dyDescent="0.3">
      <c r="C49" s="6"/>
      <c r="D49" s="6"/>
      <c r="E49" s="19"/>
      <c r="F49" s="6" t="s">
        <v>19</v>
      </c>
      <c r="G49" s="6">
        <v>10</v>
      </c>
    </row>
    <row r="50" spans="3:7" ht="15" customHeight="1" x14ac:dyDescent="0.3">
      <c r="C50" s="6"/>
      <c r="D50" s="6"/>
      <c r="E50" s="19"/>
      <c r="F50" s="6" t="s">
        <v>20</v>
      </c>
      <c r="G50" s="6">
        <v>10</v>
      </c>
    </row>
    <row r="51" spans="3:7" ht="15" customHeight="1" x14ac:dyDescent="0.3">
      <c r="C51" s="6"/>
      <c r="D51" s="6"/>
      <c r="E51" s="19"/>
      <c r="F51" s="6" t="s">
        <v>21</v>
      </c>
      <c r="G51" s="6">
        <v>40</v>
      </c>
    </row>
    <row r="53" spans="3:7" ht="15" customHeight="1" x14ac:dyDescent="0.3">
      <c r="E53" s="27" t="s">
        <v>22</v>
      </c>
    </row>
    <row r="54" spans="3:7" ht="15" customHeight="1" x14ac:dyDescent="0.3">
      <c r="E54" s="7">
        <f>SUM(D48,G48:G51,100)</f>
        <v>200</v>
      </c>
    </row>
    <row r="66" spans="1:7" ht="15" customHeight="1" x14ac:dyDescent="0.3">
      <c r="A66" s="16" t="s">
        <v>109</v>
      </c>
    </row>
    <row r="67" spans="1:7" ht="15" customHeight="1" x14ac:dyDescent="0.3">
      <c r="A67" s="16" t="s">
        <v>276</v>
      </c>
    </row>
    <row r="68" spans="1:7" ht="15" customHeight="1" x14ac:dyDescent="0.3">
      <c r="A68" s="16" t="s">
        <v>277</v>
      </c>
    </row>
    <row r="69" spans="1:7" ht="15" customHeight="1" x14ac:dyDescent="0.3">
      <c r="A69" s="16" t="s">
        <v>366</v>
      </c>
    </row>
    <row r="70" spans="1:7" ht="15" customHeight="1" x14ac:dyDescent="0.3">
      <c r="A70" s="16" t="s">
        <v>278</v>
      </c>
    </row>
    <row r="71" spans="1:7" ht="15" customHeight="1" x14ac:dyDescent="0.3">
      <c r="A71" s="16" t="s">
        <v>135</v>
      </c>
    </row>
    <row r="72" spans="1:7" ht="15" customHeight="1" x14ac:dyDescent="0.3">
      <c r="A72" s="16" t="s">
        <v>279</v>
      </c>
      <c r="C72" s="27" t="s">
        <v>11</v>
      </c>
      <c r="D72" s="27" t="s">
        <v>1</v>
      </c>
      <c r="F72" s="27" t="s">
        <v>11</v>
      </c>
      <c r="G72" s="27" t="s">
        <v>1</v>
      </c>
    </row>
    <row r="73" spans="1:7" ht="15" customHeight="1" x14ac:dyDescent="0.3">
      <c r="A73" s="48" t="s">
        <v>367</v>
      </c>
      <c r="C73" s="6" t="s">
        <v>12</v>
      </c>
      <c r="D73" s="6">
        <v>50</v>
      </c>
      <c r="F73" s="6" t="s">
        <v>12</v>
      </c>
      <c r="G73" s="6">
        <v>50</v>
      </c>
    </row>
    <row r="74" spans="1:7" ht="15" customHeight="1" x14ac:dyDescent="0.3">
      <c r="A74" s="16" t="s">
        <v>118</v>
      </c>
      <c r="C74" s="6" t="s">
        <v>13</v>
      </c>
      <c r="D74" s="6">
        <v>100</v>
      </c>
      <c r="F74" s="6" t="s">
        <v>13</v>
      </c>
      <c r="G74" s="6">
        <v>100</v>
      </c>
    </row>
    <row r="75" spans="1:7" ht="15" customHeight="1" x14ac:dyDescent="0.3">
      <c r="C75" s="6" t="s">
        <v>14</v>
      </c>
      <c r="D75" s="6">
        <v>40</v>
      </c>
      <c r="F75" s="6" t="s">
        <v>14</v>
      </c>
      <c r="G75" s="6">
        <v>40</v>
      </c>
    </row>
    <row r="76" spans="1:7" ht="15" customHeight="1" x14ac:dyDescent="0.3">
      <c r="C76" s="6" t="s">
        <v>15</v>
      </c>
      <c r="D76" s="6">
        <v>50</v>
      </c>
      <c r="F76" s="6" t="s">
        <v>15</v>
      </c>
      <c r="G76" s="6">
        <v>50</v>
      </c>
    </row>
    <row r="77" spans="1:7" ht="15" customHeight="1" thickBot="1" x14ac:dyDescent="0.35">
      <c r="C77" s="6" t="s">
        <v>16</v>
      </c>
      <c r="D77" s="6">
        <v>20</v>
      </c>
      <c r="F77" s="6" t="s">
        <v>16</v>
      </c>
      <c r="G77" s="6">
        <v>20</v>
      </c>
    </row>
    <row r="78" spans="1:7" ht="15" customHeight="1" thickTop="1" thickBot="1" x14ac:dyDescent="0.35">
      <c r="D78" s="7">
        <f>SUMIF(D73:D77,"&gt;50")</f>
        <v>100</v>
      </c>
      <c r="F78" s="21"/>
      <c r="G78" s="20">
        <f>SUMIF(G73:G77,"&gt;=50")</f>
        <v>200</v>
      </c>
    </row>
    <row r="79" spans="1:7" ht="15" customHeight="1" thickTop="1" x14ac:dyDescent="0.3"/>
    <row r="86" spans="1:1" ht="15" customHeight="1" x14ac:dyDescent="0.3">
      <c r="A86" s="16" t="s">
        <v>111</v>
      </c>
    </row>
    <row r="87" spans="1:1" ht="15" customHeight="1" x14ac:dyDescent="0.3">
      <c r="A87" s="16" t="s">
        <v>112</v>
      </c>
    </row>
    <row r="88" spans="1:1" ht="15" customHeight="1" x14ac:dyDescent="0.3">
      <c r="A88" s="16" t="s">
        <v>113</v>
      </c>
    </row>
    <row r="89" spans="1:1" ht="15" customHeight="1" x14ac:dyDescent="0.3">
      <c r="A89" s="16" t="s">
        <v>114</v>
      </c>
    </row>
    <row r="90" spans="1:1" ht="15" customHeight="1" x14ac:dyDescent="0.3">
      <c r="A90" s="16" t="s">
        <v>360</v>
      </c>
    </row>
    <row r="91" spans="1:1" ht="15" customHeight="1" x14ac:dyDescent="0.3">
      <c r="A91" s="16" t="s">
        <v>110</v>
      </c>
    </row>
  </sheetData>
  <hyperlinks>
    <hyperlink ref="A87" r:id="rId1" tooltip="Select to learn all about the SUM function from the web" xr:uid="{00000000-0004-0000-0100-000000000000}"/>
    <hyperlink ref="A88" r:id="rId2" tooltip="Select to learn all about the SUMIF function from the web" xr:uid="{00000000-0004-0000-0100-000001000000}"/>
    <hyperlink ref="A89" r:id="rId3" tooltip="Select to learn how to use Excel as a calculator from the web" xr:uid="{00000000-0004-0000-0100-000002000000}"/>
    <hyperlink ref="A90" r:id="rId4" tooltip="Select to learn an overview of Free Excel training online from the web" xr:uid="{00000000-0004-0000-0100-000003000000}"/>
    <hyperlink ref="A71" location="'10. PivotTables'!A1" tooltip="Select to go to PivotTable worksheet" display="NOTE: If you find you are making a lot of SUMIF formulas, you might find that a PivotTable is a better solution. See the PivotTable worksheet for more information." xr:uid="{00000000-0004-0000-0100-000004000000}"/>
  </hyperlinks>
  <pageMargins left="0.7" right="0.7" top="0.75" bottom="0.75" header="0.3" footer="0.3"/>
  <pageSetup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16384" width="8.88671875" style="18"/>
  </cols>
  <sheetData>
    <row r="1" spans="1:9" ht="60" customHeight="1" x14ac:dyDescent="0.3">
      <c r="A1" s="16" t="s">
        <v>120</v>
      </c>
    </row>
    <row r="2" spans="1:9" ht="15" customHeight="1" x14ac:dyDescent="0.3">
      <c r="A2" s="16" t="s">
        <v>137</v>
      </c>
    </row>
    <row r="3" spans="1:9" ht="15" customHeight="1" x14ac:dyDescent="0.3">
      <c r="A3" s="16" t="s">
        <v>280</v>
      </c>
      <c r="C3" s="27" t="s">
        <v>23</v>
      </c>
      <c r="D3" s="27" t="s">
        <v>24</v>
      </c>
      <c r="E3" s="27" t="s">
        <v>25</v>
      </c>
      <c r="F3" s="27" t="s">
        <v>24</v>
      </c>
      <c r="G3" s="27" t="s">
        <v>25</v>
      </c>
    </row>
    <row r="4" spans="1:9" ht="15" customHeight="1" x14ac:dyDescent="0.3">
      <c r="A4" s="16" t="s">
        <v>121</v>
      </c>
      <c r="C4" s="6">
        <v>50</v>
      </c>
      <c r="D4" s="6">
        <v>50</v>
      </c>
      <c r="E4" s="7">
        <f>SUM(C4:D4)</f>
        <v>100</v>
      </c>
      <c r="F4" s="6">
        <v>75</v>
      </c>
      <c r="G4" s="6">
        <f>SUM(E4:F4)</f>
        <v>175</v>
      </c>
    </row>
    <row r="5" spans="1:9" s="19" customFormat="1" ht="15" customHeight="1" x14ac:dyDescent="0.3">
      <c r="A5" s="16" t="s">
        <v>281</v>
      </c>
      <c r="B5"/>
      <c r="C5" s="6">
        <v>50</v>
      </c>
      <c r="D5" s="6">
        <v>60</v>
      </c>
      <c r="E5" s="6"/>
      <c r="F5" s="6">
        <v>75</v>
      </c>
      <c r="G5" s="6"/>
      <c r="H5" s="18"/>
      <c r="I5" s="18"/>
    </row>
    <row r="6" spans="1:9" s="19" customFormat="1" ht="15" customHeight="1" x14ac:dyDescent="0.3">
      <c r="A6" s="16" t="s">
        <v>282</v>
      </c>
      <c r="B6"/>
      <c r="C6" s="6">
        <v>50</v>
      </c>
      <c r="D6" s="6">
        <v>70</v>
      </c>
      <c r="E6" s="6"/>
      <c r="F6" s="6">
        <v>75</v>
      </c>
      <c r="G6" s="6"/>
      <c r="H6" s="18"/>
      <c r="I6" s="18"/>
    </row>
    <row r="7" spans="1:9" s="19" customFormat="1" ht="15" customHeight="1" x14ac:dyDescent="0.3">
      <c r="A7" s="16" t="s">
        <v>283</v>
      </c>
      <c r="B7"/>
      <c r="C7" s="6">
        <v>50</v>
      </c>
      <c r="D7" s="6">
        <v>80</v>
      </c>
      <c r="E7" s="6"/>
      <c r="F7" s="6">
        <v>75</v>
      </c>
      <c r="G7" s="6"/>
      <c r="H7" s="18"/>
      <c r="I7" s="18"/>
    </row>
    <row r="8" spans="1:9" s="19" customFormat="1" ht="15" customHeight="1" x14ac:dyDescent="0.3">
      <c r="A8" s="16" t="s">
        <v>122</v>
      </c>
      <c r="B8"/>
      <c r="C8" s="18"/>
      <c r="D8" s="18"/>
      <c r="E8" s="18"/>
      <c r="F8" s="18"/>
      <c r="G8" s="18"/>
      <c r="H8" s="18"/>
      <c r="I8" s="18"/>
    </row>
    <row r="9" spans="1:9" s="19" customFormat="1" ht="15" customHeight="1" x14ac:dyDescent="0.3">
      <c r="A9" s="16" t="s">
        <v>123</v>
      </c>
      <c r="B9"/>
      <c r="C9" s="18"/>
      <c r="D9" s="18"/>
      <c r="E9" s="18"/>
      <c r="F9" s="18"/>
      <c r="G9" s="18"/>
      <c r="H9" s="18"/>
      <c r="I9" s="18"/>
    </row>
    <row r="10" spans="1:9" s="19" customFormat="1" ht="15" customHeight="1" x14ac:dyDescent="0.3">
      <c r="A10" s="16"/>
      <c r="B10"/>
      <c r="C10" s="27" t="s">
        <v>23</v>
      </c>
      <c r="D10" s="27" t="s">
        <v>24</v>
      </c>
      <c r="E10" s="27" t="s">
        <v>25</v>
      </c>
      <c r="F10" s="27" t="s">
        <v>24</v>
      </c>
      <c r="G10" s="27" t="s">
        <v>25</v>
      </c>
      <c r="H10" s="18"/>
      <c r="I10" s="18"/>
    </row>
    <row r="11" spans="1:9" s="19" customFormat="1" ht="15" customHeight="1" x14ac:dyDescent="0.3">
      <c r="A11" s="16"/>
      <c r="B11"/>
      <c r="C11" s="6">
        <v>50</v>
      </c>
      <c r="D11" s="6">
        <v>50</v>
      </c>
      <c r="E11" s="6">
        <f>SUM(C11:D11)</f>
        <v>100</v>
      </c>
      <c r="F11" s="6">
        <v>75</v>
      </c>
      <c r="G11" s="6">
        <f>SUM(E11:F11)</f>
        <v>175</v>
      </c>
      <c r="H11" s="18"/>
      <c r="I11" s="18"/>
    </row>
    <row r="12" spans="1:9" s="19" customFormat="1" ht="15" customHeight="1" x14ac:dyDescent="0.3">
      <c r="A12" s="16"/>
      <c r="B12"/>
      <c r="C12" s="6">
        <v>50</v>
      </c>
      <c r="D12" s="6">
        <v>60</v>
      </c>
      <c r="E12" s="6">
        <f t="shared" ref="E12:E14" si="0">SUM(C12:D12)</f>
        <v>110</v>
      </c>
      <c r="F12" s="6">
        <v>75</v>
      </c>
      <c r="G12" s="6">
        <f t="shared" ref="G12:G14" si="1">SUM(E12:F12)</f>
        <v>185</v>
      </c>
      <c r="H12" s="18"/>
      <c r="I12" s="18"/>
    </row>
    <row r="13" spans="1:9" s="19" customFormat="1" ht="15" customHeight="1" x14ac:dyDescent="0.3">
      <c r="A13" s="16"/>
      <c r="B13"/>
      <c r="C13" s="6">
        <v>50</v>
      </c>
      <c r="D13" s="6">
        <v>70</v>
      </c>
      <c r="E13" s="6">
        <f t="shared" si="0"/>
        <v>120</v>
      </c>
      <c r="F13" s="6">
        <v>75</v>
      </c>
      <c r="G13" s="6">
        <f t="shared" si="1"/>
        <v>195</v>
      </c>
      <c r="H13" s="18"/>
      <c r="I13" s="18"/>
    </row>
    <row r="14" spans="1:9" s="19" customFormat="1" ht="15" customHeight="1" x14ac:dyDescent="0.3">
      <c r="A14" s="16"/>
      <c r="B14"/>
      <c r="C14" s="42">
        <v>50</v>
      </c>
      <c r="D14" s="42">
        <v>80</v>
      </c>
      <c r="E14" s="42">
        <f t="shared" si="0"/>
        <v>130</v>
      </c>
      <c r="F14" s="42">
        <v>75</v>
      </c>
      <c r="G14" s="42">
        <f t="shared" si="1"/>
        <v>205</v>
      </c>
      <c r="H14" s="18"/>
      <c r="I14" s="18"/>
    </row>
    <row r="15" spans="1:9" s="19" customFormat="1" ht="15" customHeight="1" x14ac:dyDescent="0.3">
      <c r="A15" s="16"/>
      <c r="B15"/>
      <c r="C15" s="7">
        <f>SUM(C11:C14)</f>
        <v>200</v>
      </c>
      <c r="D15" s="6"/>
      <c r="E15" s="6"/>
      <c r="F15" s="6"/>
      <c r="G15" s="6"/>
      <c r="H15" s="18"/>
      <c r="I15" s="18"/>
    </row>
    <row r="16" spans="1:9" s="19" customFormat="1" ht="15" customHeight="1" x14ac:dyDescent="0.3">
      <c r="A16" s="16"/>
      <c r="B16"/>
      <c r="H16" s="18"/>
      <c r="I16" s="18"/>
    </row>
    <row r="17" spans="1:9" s="19" customFormat="1" ht="15" customHeight="1" x14ac:dyDescent="0.3">
      <c r="A17" s="16"/>
      <c r="B17"/>
      <c r="H17" s="18"/>
      <c r="I17" s="18"/>
    </row>
    <row r="18" spans="1:9" s="19" customFormat="1" ht="15" customHeight="1" x14ac:dyDescent="0.3">
      <c r="A18" s="16"/>
      <c r="B18"/>
      <c r="C18" s="18"/>
      <c r="D18" s="18"/>
      <c r="E18" s="18"/>
      <c r="F18" s="18"/>
      <c r="G18" s="18"/>
      <c r="H18" s="18"/>
      <c r="I18" s="18"/>
    </row>
    <row r="19" spans="1:9" s="19" customFormat="1" ht="15" customHeight="1" x14ac:dyDescent="0.3">
      <c r="A19" s="16"/>
      <c r="B19"/>
      <c r="C19" s="18"/>
      <c r="D19" s="18"/>
      <c r="E19" s="18"/>
      <c r="F19" s="18"/>
      <c r="G19" s="18"/>
      <c r="H19" s="18"/>
      <c r="I19" s="18"/>
    </row>
    <row r="20" spans="1:9" s="19" customFormat="1" ht="15" customHeight="1" x14ac:dyDescent="0.3">
      <c r="A20" s="16"/>
      <c r="B20"/>
      <c r="C20" s="18"/>
      <c r="D20" s="18"/>
      <c r="E20" s="18"/>
      <c r="F20" s="18"/>
      <c r="G20" s="18"/>
      <c r="H20" s="18"/>
      <c r="I20" s="18"/>
    </row>
    <row r="21" spans="1:9" s="19" customFormat="1" ht="15" customHeight="1" x14ac:dyDescent="0.3">
      <c r="A21" s="16"/>
      <c r="B21"/>
      <c r="C21" s="18"/>
      <c r="D21" s="18"/>
      <c r="E21" s="18"/>
      <c r="F21" s="18"/>
      <c r="G21" s="18"/>
      <c r="H21" s="18"/>
      <c r="I21" s="18"/>
    </row>
    <row r="22" spans="1:9" s="19" customFormat="1" ht="15" customHeight="1" x14ac:dyDescent="0.3">
      <c r="A22" s="16"/>
      <c r="B22"/>
    </row>
    <row r="23" spans="1:9" s="19" customFormat="1" ht="15" customHeight="1" x14ac:dyDescent="0.3">
      <c r="A23" s="16"/>
      <c r="B23"/>
    </row>
    <row r="24" spans="1:9" s="19" customFormat="1" ht="15" customHeight="1" x14ac:dyDescent="0.3">
      <c r="A24" s="16"/>
      <c r="B24"/>
    </row>
    <row r="27" spans="1:9" ht="15" customHeight="1" x14ac:dyDescent="0.3">
      <c r="A27" s="16" t="s">
        <v>124</v>
      </c>
    </row>
    <row r="28" spans="1:9" ht="15" customHeight="1" x14ac:dyDescent="0.3">
      <c r="A28" s="16" t="s">
        <v>125</v>
      </c>
    </row>
    <row r="29" spans="1:9" ht="15" customHeight="1" x14ac:dyDescent="0.3">
      <c r="A29" s="16" t="s">
        <v>284</v>
      </c>
    </row>
    <row r="30" spans="1:9" ht="15" customHeight="1" x14ac:dyDescent="0.3">
      <c r="A30" s="16" t="s">
        <v>285</v>
      </c>
    </row>
    <row r="31" spans="1:9" ht="15" customHeight="1" x14ac:dyDescent="0.3">
      <c r="A31" s="16" t="s">
        <v>138</v>
      </c>
    </row>
    <row r="33" spans="3:8" ht="15" customHeight="1" x14ac:dyDescent="0.3">
      <c r="C33" s="27" t="s">
        <v>34</v>
      </c>
      <c r="D33" s="27" t="s">
        <v>26</v>
      </c>
      <c r="E33" s="27" t="s">
        <v>27</v>
      </c>
      <c r="F33" s="27" t="s">
        <v>33</v>
      </c>
    </row>
    <row r="34" spans="3:8" ht="15" customHeight="1" x14ac:dyDescent="0.3">
      <c r="C34" s="43" t="s">
        <v>28</v>
      </c>
      <c r="D34" s="43" t="s">
        <v>0</v>
      </c>
      <c r="E34" s="6" t="s">
        <v>29</v>
      </c>
      <c r="F34" s="6">
        <v>100</v>
      </c>
    </row>
    <row r="35" spans="3:8" ht="15" customHeight="1" x14ac:dyDescent="0.3">
      <c r="C35" s="6"/>
      <c r="D35" s="6"/>
      <c r="E35" s="6" t="s">
        <v>30</v>
      </c>
      <c r="F35" s="6">
        <v>200</v>
      </c>
    </row>
    <row r="36" spans="3:8" ht="15" customHeight="1" x14ac:dyDescent="0.3">
      <c r="C36" s="6"/>
      <c r="D36" s="6"/>
      <c r="E36" s="6" t="s">
        <v>31</v>
      </c>
      <c r="F36" s="6">
        <v>50</v>
      </c>
    </row>
    <row r="37" spans="3:8" ht="15" customHeight="1" x14ac:dyDescent="0.3">
      <c r="C37" s="6"/>
      <c r="D37" s="6"/>
      <c r="E37" s="6" t="s">
        <v>32</v>
      </c>
      <c r="F37" s="6">
        <v>100</v>
      </c>
    </row>
    <row r="46" spans="3:8" ht="15" customHeight="1" thickBot="1" x14ac:dyDescent="0.35">
      <c r="C46" s="27"/>
      <c r="D46" s="27" t="s">
        <v>35</v>
      </c>
      <c r="E46" s="27"/>
      <c r="F46" s="27"/>
    </row>
    <row r="47" spans="3:8" ht="15" customHeight="1" thickTop="1" thickBot="1" x14ac:dyDescent="0.35">
      <c r="C47" s="43" t="s">
        <v>36</v>
      </c>
      <c r="D47" s="6">
        <v>35</v>
      </c>
      <c r="E47" s="6">
        <v>44</v>
      </c>
      <c r="F47" s="6">
        <v>79</v>
      </c>
      <c r="H47" s="20" t="s">
        <v>61</v>
      </c>
    </row>
    <row r="48" spans="3:8" ht="15" customHeight="1" thickTop="1" x14ac:dyDescent="0.3">
      <c r="C48" s="6"/>
      <c r="D48" s="6">
        <v>74</v>
      </c>
      <c r="E48" s="6">
        <v>64</v>
      </c>
      <c r="F48" s="6">
        <v>56</v>
      </c>
      <c r="H48" s="6"/>
    </row>
    <row r="49" spans="1:8" ht="15" customHeight="1" x14ac:dyDescent="0.3">
      <c r="C49" s="6"/>
      <c r="D49" s="6">
        <v>82</v>
      </c>
      <c r="E49" s="6">
        <v>50</v>
      </c>
      <c r="F49" s="6">
        <v>83</v>
      </c>
      <c r="H49" s="6"/>
    </row>
    <row r="50" spans="1:8" ht="15" customHeight="1" x14ac:dyDescent="0.3">
      <c r="C50" s="6"/>
      <c r="D50" s="6">
        <v>90</v>
      </c>
      <c r="E50" s="6">
        <v>22</v>
      </c>
      <c r="F50" s="6">
        <v>89</v>
      </c>
      <c r="H50" s="6"/>
    </row>
    <row r="60" spans="1:8" ht="15" customHeight="1" x14ac:dyDescent="0.3">
      <c r="C60" s="27" t="s">
        <v>37</v>
      </c>
      <c r="D60" s="27"/>
      <c r="E60" s="27"/>
      <c r="F60" s="27"/>
      <c r="G60" s="27"/>
      <c r="H60" s="27"/>
    </row>
    <row r="61" spans="1:8" ht="15" customHeight="1" x14ac:dyDescent="0.3">
      <c r="C61" s="43">
        <v>15</v>
      </c>
      <c r="D61" s="43">
        <v>30</v>
      </c>
      <c r="E61" s="6"/>
      <c r="F61" s="6"/>
      <c r="G61" s="6"/>
      <c r="H61" s="6"/>
    </row>
    <row r="64" spans="1:8" ht="15" customHeight="1" x14ac:dyDescent="0.3">
      <c r="A64" s="16" t="s">
        <v>111</v>
      </c>
    </row>
    <row r="65" spans="1:1" ht="15" customHeight="1" x14ac:dyDescent="0.3">
      <c r="A65" s="16" t="s">
        <v>139</v>
      </c>
    </row>
    <row r="66" spans="1:1" ht="15" customHeight="1" x14ac:dyDescent="0.3">
      <c r="A66" s="16" t="s">
        <v>140</v>
      </c>
    </row>
    <row r="67" spans="1:1" ht="15" customHeight="1" x14ac:dyDescent="0.3">
      <c r="A67" s="16" t="s">
        <v>110</v>
      </c>
    </row>
  </sheetData>
  <hyperlinks>
    <hyperlink ref="A65" r:id="rId1" tooltip="Select to learn about filling data automatically in worksheet cells from the web" xr:uid="{00000000-0004-0000-0200-000000000000}"/>
    <hyperlink ref="A66" r:id="rId2" tooltip="Select to learn about filling a formula down into adjacent cells from the web" xr:uid="{00000000-0004-0000-0200-000001000000}"/>
  </hyperlinks>
  <pageMargins left="0.7" right="0.7" top="0.75" bottom="0.75" header="0.3" footer="0.3"/>
  <pageSetup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33.88671875" customWidth="1"/>
    <col min="4" max="4" width="10.33203125" customWidth="1"/>
    <col min="5" max="5" width="9.88671875" customWidth="1"/>
    <col min="6" max="7" width="15.5546875" customWidth="1"/>
    <col min="8" max="8" width="9.88671875" customWidth="1"/>
  </cols>
  <sheetData>
    <row r="1" spans="1:8" ht="60" customHeight="1" x14ac:dyDescent="0.3">
      <c r="A1" s="16" t="s">
        <v>126</v>
      </c>
    </row>
    <row r="2" spans="1:8" ht="15" customHeight="1" x14ac:dyDescent="0.3">
      <c r="A2" s="16" t="s">
        <v>340</v>
      </c>
    </row>
    <row r="3" spans="1:8" ht="15" customHeight="1" x14ac:dyDescent="0.3">
      <c r="A3" s="16" t="s">
        <v>341</v>
      </c>
    </row>
    <row r="4" spans="1:8" ht="15" customHeight="1" x14ac:dyDescent="0.3">
      <c r="A4" s="16" t="s">
        <v>141</v>
      </c>
      <c r="C4" s="27" t="s">
        <v>38</v>
      </c>
      <c r="D4" s="27" t="s">
        <v>39</v>
      </c>
      <c r="E4" s="27" t="s">
        <v>40</v>
      </c>
    </row>
    <row r="5" spans="1:8" s="3" customFormat="1" ht="15" customHeight="1" x14ac:dyDescent="0.3">
      <c r="A5" s="16" t="s">
        <v>142</v>
      </c>
      <c r="B5"/>
      <c r="C5" s="31" t="s">
        <v>86</v>
      </c>
      <c r="D5" s="10"/>
      <c r="E5" s="32" t="s">
        <v>41</v>
      </c>
      <c r="F5"/>
      <c r="G5"/>
      <c r="H5"/>
    </row>
    <row r="6" spans="1:8" s="3" customFormat="1" ht="15" customHeight="1" x14ac:dyDescent="0.3">
      <c r="A6" s="16" t="s">
        <v>286</v>
      </c>
      <c r="B6"/>
      <c r="C6" s="31" t="s">
        <v>93</v>
      </c>
      <c r="D6"/>
      <c r="E6" s="32"/>
      <c r="F6"/>
      <c r="G6"/>
      <c r="H6"/>
    </row>
    <row r="7" spans="1:8" s="3" customFormat="1" ht="15" customHeight="1" x14ac:dyDescent="0.3">
      <c r="A7" s="16" t="s">
        <v>123</v>
      </c>
      <c r="B7"/>
      <c r="C7" s="31" t="s">
        <v>88</v>
      </c>
      <c r="D7"/>
      <c r="E7" s="32"/>
      <c r="F7"/>
      <c r="G7"/>
      <c r="H7"/>
    </row>
    <row r="8" spans="1:8" s="3" customFormat="1" ht="15" customHeight="1" x14ac:dyDescent="0.3">
      <c r="A8" s="16"/>
      <c r="B8"/>
      <c r="C8" s="31" t="s">
        <v>87</v>
      </c>
      <c r="D8"/>
      <c r="E8" s="32"/>
      <c r="F8"/>
      <c r="G8"/>
      <c r="H8"/>
    </row>
    <row r="9" spans="1:8" s="3" customFormat="1" ht="15" customHeight="1" x14ac:dyDescent="0.3">
      <c r="A9" s="16"/>
      <c r="B9"/>
      <c r="C9" s="33" t="s">
        <v>98</v>
      </c>
      <c r="D9" s="45"/>
      <c r="E9" s="46"/>
      <c r="F9"/>
      <c r="G9"/>
      <c r="H9"/>
    </row>
    <row r="10" spans="1:8" s="3" customFormat="1" ht="15" customHeight="1" x14ac:dyDescent="0.3">
      <c r="A10" s="16"/>
      <c r="B10"/>
      <c r="C10"/>
      <c r="D10"/>
      <c r="E10"/>
      <c r="F10"/>
      <c r="G10"/>
      <c r="H10"/>
    </row>
    <row r="11" spans="1:8" s="3" customFormat="1" ht="15" customHeight="1" x14ac:dyDescent="0.3">
      <c r="A11" s="16"/>
      <c r="B11"/>
      <c r="C11"/>
      <c r="D11"/>
      <c r="E11"/>
      <c r="F11"/>
      <c r="G11"/>
      <c r="H11"/>
    </row>
    <row r="12" spans="1:8" s="3" customFormat="1" ht="15" customHeight="1" x14ac:dyDescent="0.3">
      <c r="A12" s="16"/>
      <c r="B12"/>
      <c r="C12"/>
      <c r="D12"/>
      <c r="E12"/>
      <c r="F12"/>
      <c r="G12"/>
      <c r="H12"/>
    </row>
    <row r="13" spans="1:8" s="3" customFormat="1" ht="15" customHeight="1" x14ac:dyDescent="0.3">
      <c r="A13" s="16"/>
      <c r="B13"/>
      <c r="C13"/>
      <c r="D13"/>
      <c r="E13"/>
      <c r="F13"/>
      <c r="G13"/>
      <c r="H13"/>
    </row>
    <row r="14" spans="1:8" s="3" customFormat="1" ht="15" customHeight="1" x14ac:dyDescent="0.3">
      <c r="A14" s="16"/>
      <c r="B14"/>
      <c r="C14"/>
      <c r="D14"/>
      <c r="E14"/>
      <c r="F14"/>
      <c r="G14"/>
      <c r="H14"/>
    </row>
    <row r="15" spans="1:8" s="3" customFormat="1" ht="15" customHeight="1" x14ac:dyDescent="0.3">
      <c r="A15" s="16"/>
      <c r="B15"/>
      <c r="C15"/>
      <c r="D15"/>
      <c r="E15"/>
      <c r="F15"/>
      <c r="G15"/>
      <c r="H15"/>
    </row>
    <row r="16" spans="1:8" s="3" customFormat="1" ht="15" customHeight="1" x14ac:dyDescent="0.3">
      <c r="A16" s="16"/>
      <c r="B16"/>
      <c r="C16"/>
      <c r="D16"/>
      <c r="E16"/>
      <c r="F16"/>
      <c r="G16"/>
      <c r="H16"/>
    </row>
    <row r="17" spans="1:8" s="3" customFormat="1" ht="15" customHeight="1" x14ac:dyDescent="0.3">
      <c r="A17" s="16"/>
      <c r="B17"/>
      <c r="C17"/>
      <c r="D17"/>
      <c r="E17"/>
      <c r="F17"/>
      <c r="G17"/>
      <c r="H17"/>
    </row>
    <row r="18" spans="1:8" s="3" customFormat="1" ht="15" customHeight="1" x14ac:dyDescent="0.3">
      <c r="A18" s="16"/>
      <c r="B18"/>
      <c r="C18"/>
      <c r="D18"/>
      <c r="E18"/>
      <c r="F18"/>
      <c r="G18"/>
      <c r="H18"/>
    </row>
    <row r="19" spans="1:8" s="3" customFormat="1" ht="15" customHeight="1" x14ac:dyDescent="0.3">
      <c r="A19" s="16"/>
      <c r="B19"/>
      <c r="C19"/>
      <c r="D19"/>
      <c r="E19"/>
      <c r="F19"/>
      <c r="G19"/>
      <c r="H19"/>
    </row>
    <row r="20" spans="1:8" s="3" customFormat="1" ht="15" customHeight="1" x14ac:dyDescent="0.3">
      <c r="A20" s="16"/>
      <c r="B20"/>
      <c r="C20"/>
      <c r="D20"/>
      <c r="E20"/>
      <c r="F20"/>
      <c r="G20"/>
      <c r="H20"/>
    </row>
    <row r="21" spans="1:8" s="3" customFormat="1" ht="15" customHeight="1" x14ac:dyDescent="0.3">
      <c r="A21" s="16"/>
      <c r="B21"/>
      <c r="C21"/>
      <c r="D21"/>
      <c r="E21"/>
      <c r="F21"/>
      <c r="G21"/>
      <c r="H21"/>
    </row>
    <row r="22" spans="1:8" s="3" customFormat="1" ht="15" customHeight="1" x14ac:dyDescent="0.3">
      <c r="A22" s="16"/>
      <c r="B22"/>
    </row>
    <row r="23" spans="1:8" s="3" customFormat="1" ht="15" customHeight="1" x14ac:dyDescent="0.3">
      <c r="A23" s="16"/>
      <c r="B23"/>
    </row>
    <row r="24" spans="1:8" s="3" customFormat="1" ht="15" customHeight="1" x14ac:dyDescent="0.3">
      <c r="A24" s="16"/>
      <c r="B24"/>
    </row>
    <row r="27" spans="1:8" ht="15" customHeight="1" x14ac:dyDescent="0.3">
      <c r="A27" s="16" t="s">
        <v>143</v>
      </c>
    </row>
    <row r="28" spans="1:8" ht="15" customHeight="1" x14ac:dyDescent="0.3">
      <c r="A28" s="16" t="s">
        <v>144</v>
      </c>
    </row>
    <row r="29" spans="1:8" ht="15" customHeight="1" x14ac:dyDescent="0.3">
      <c r="A29" s="16" t="s">
        <v>287</v>
      </c>
    </row>
    <row r="30" spans="1:8" ht="15" customHeight="1" x14ac:dyDescent="0.3">
      <c r="A30" s="16" t="s">
        <v>288</v>
      </c>
    </row>
    <row r="31" spans="1:8" ht="15" customHeight="1" x14ac:dyDescent="0.3">
      <c r="A31" s="16" t="s">
        <v>289</v>
      </c>
      <c r="C31" s="27" t="s">
        <v>42</v>
      </c>
      <c r="D31" s="27" t="s">
        <v>39</v>
      </c>
      <c r="E31" s="27" t="s">
        <v>40</v>
      </c>
      <c r="F31" s="47" t="s">
        <v>97</v>
      </c>
    </row>
    <row r="32" spans="1:8" ht="15" customHeight="1" x14ac:dyDescent="0.3">
      <c r="A32" s="16" t="s">
        <v>290</v>
      </c>
      <c r="C32" s="8" t="s">
        <v>89</v>
      </c>
    </row>
    <row r="33" spans="1:6" ht="15" customHeight="1" x14ac:dyDescent="0.3">
      <c r="A33" s="16" t="s">
        <v>291</v>
      </c>
      <c r="C33" s="8" t="s">
        <v>90</v>
      </c>
    </row>
    <row r="34" spans="1:6" ht="15" customHeight="1" x14ac:dyDescent="0.3">
      <c r="A34" s="16" t="s">
        <v>292</v>
      </c>
      <c r="C34" s="8" t="s">
        <v>91</v>
      </c>
    </row>
    <row r="35" spans="1:6" ht="15" customHeight="1" x14ac:dyDescent="0.3">
      <c r="A35" s="16" t="s">
        <v>145</v>
      </c>
      <c r="C35" s="8" t="s">
        <v>92</v>
      </c>
    </row>
    <row r="36" spans="1:6" ht="15" customHeight="1" x14ac:dyDescent="0.3">
      <c r="C36" s="8" t="s">
        <v>94</v>
      </c>
    </row>
    <row r="37" spans="1:6" ht="15" customHeight="1" x14ac:dyDescent="0.3">
      <c r="C37" s="8" t="s">
        <v>95</v>
      </c>
    </row>
    <row r="38" spans="1:6" ht="15" customHeight="1" x14ac:dyDescent="0.3">
      <c r="C38" s="8" t="s">
        <v>96</v>
      </c>
    </row>
    <row r="39" spans="1:6" ht="15" customHeight="1" x14ac:dyDescent="0.3">
      <c r="C39" s="29" t="s">
        <v>100</v>
      </c>
      <c r="D39" s="30"/>
      <c r="E39" s="30"/>
      <c r="F39" s="30"/>
    </row>
    <row r="40" spans="1:6" ht="15" customHeight="1" x14ac:dyDescent="0.3">
      <c r="C40" s="11"/>
      <c r="D40" s="11"/>
      <c r="E40" s="11"/>
      <c r="F40" s="11"/>
    </row>
    <row r="49" spans="1:8" ht="15" customHeight="1" x14ac:dyDescent="0.3">
      <c r="A49" s="16" t="s">
        <v>146</v>
      </c>
    </row>
    <row r="50" spans="1:8" ht="15" customHeight="1" x14ac:dyDescent="0.3">
      <c r="A50" s="16" t="s">
        <v>147</v>
      </c>
    </row>
    <row r="51" spans="1:8" ht="15" customHeight="1" x14ac:dyDescent="0.3">
      <c r="A51" s="16" t="s">
        <v>368</v>
      </c>
    </row>
    <row r="52" spans="1:8" ht="15" customHeight="1" x14ac:dyDescent="0.3">
      <c r="A52" s="16" t="s">
        <v>153</v>
      </c>
    </row>
    <row r="53" spans="1:8" ht="15" customHeight="1" x14ac:dyDescent="0.3">
      <c r="A53" s="16" t="s">
        <v>148</v>
      </c>
    </row>
    <row r="54" spans="1:8" ht="15" customHeight="1" x14ac:dyDescent="0.3">
      <c r="A54" s="16" t="s">
        <v>149</v>
      </c>
    </row>
    <row r="55" spans="1:8" ht="15" customHeight="1" x14ac:dyDescent="0.3">
      <c r="A55" s="16" t="s">
        <v>150</v>
      </c>
      <c r="C55" s="27" t="s">
        <v>62</v>
      </c>
      <c r="E55" s="27" t="s">
        <v>39</v>
      </c>
      <c r="F55" s="47" t="s">
        <v>43</v>
      </c>
      <c r="G55" s="27" t="s">
        <v>99</v>
      </c>
      <c r="H55" s="27" t="s">
        <v>40</v>
      </c>
    </row>
    <row r="56" spans="1:8" ht="15" customHeight="1" x14ac:dyDescent="0.3">
      <c r="A56" s="16" t="s">
        <v>151</v>
      </c>
      <c r="C56" s="6" t="s">
        <v>44</v>
      </c>
      <c r="E56" s="7" t="str">
        <f>LEFT(C56,FIND(" ",C56)-1)</f>
        <v>Yvonne</v>
      </c>
      <c r="F56" s="7" t="str">
        <f>RIGHT(C56,LEN(C56)-FIND(" ",C56))</f>
        <v>Francis McKay</v>
      </c>
      <c r="G56" s="7" t="str">
        <f>LEFT(F56,FIND(" ",F56)-1)</f>
        <v>Francis</v>
      </c>
      <c r="H56" s="7" t="str">
        <f>RIGHT(F56,LEN(F56)-FIND(" ",F56))</f>
        <v>McKay</v>
      </c>
    </row>
    <row r="57" spans="1:8" ht="15" customHeight="1" x14ac:dyDescent="0.3">
      <c r="A57" s="16" t="s">
        <v>369</v>
      </c>
    </row>
    <row r="58" spans="1:8" ht="15" customHeight="1" x14ac:dyDescent="0.3">
      <c r="A58" s="16" t="s">
        <v>152</v>
      </c>
    </row>
    <row r="59" spans="1:8" ht="15" customHeight="1" x14ac:dyDescent="0.3">
      <c r="A59" s="16" t="s">
        <v>154</v>
      </c>
    </row>
    <row r="60" spans="1:8" ht="15" customHeight="1" x14ac:dyDescent="0.3">
      <c r="A60" s="16" t="s">
        <v>155</v>
      </c>
    </row>
    <row r="61" spans="1:8" ht="15" customHeight="1" x14ac:dyDescent="0.3">
      <c r="A61" s="16" t="s">
        <v>293</v>
      </c>
    </row>
    <row r="62" spans="1:8" ht="15" customHeight="1" x14ac:dyDescent="0.3">
      <c r="A62" s="16" t="s">
        <v>370</v>
      </c>
    </row>
    <row r="63" spans="1:8" ht="15" customHeight="1" x14ac:dyDescent="0.3">
      <c r="A63" s="16" t="s">
        <v>175</v>
      </c>
    </row>
    <row r="79" spans="1:1" ht="15" customHeight="1" x14ac:dyDescent="0.3">
      <c r="A79" s="16" t="s">
        <v>111</v>
      </c>
    </row>
    <row r="80" spans="1:1" ht="15" customHeight="1" x14ac:dyDescent="0.3">
      <c r="A80" s="16" t="s">
        <v>156</v>
      </c>
    </row>
    <row r="81" spans="1:1" ht="15" customHeight="1" x14ac:dyDescent="0.3">
      <c r="A81" s="16" t="s">
        <v>157</v>
      </c>
    </row>
    <row r="82" spans="1:1" ht="15" customHeight="1" x14ac:dyDescent="0.3">
      <c r="A82" s="16" t="s">
        <v>158</v>
      </c>
    </row>
    <row r="83" spans="1:1" ht="15" customHeight="1" x14ac:dyDescent="0.3">
      <c r="A83" s="16" t="s">
        <v>159</v>
      </c>
    </row>
    <row r="84" spans="1:1" ht="15" customHeight="1" x14ac:dyDescent="0.3">
      <c r="A84" s="16" t="s">
        <v>160</v>
      </c>
    </row>
    <row r="85" spans="1:1" ht="15" customHeight="1" x14ac:dyDescent="0.3">
      <c r="A85" s="16" t="s">
        <v>161</v>
      </c>
    </row>
    <row r="86" spans="1:1" ht="15" customHeight="1" x14ac:dyDescent="0.3">
      <c r="A86" s="16" t="s">
        <v>110</v>
      </c>
    </row>
  </sheetData>
  <hyperlinks>
    <hyperlink ref="A80" r:id="rId1" tooltip="Select to learn about splitting text into different columns from the web" xr:uid="{00000000-0004-0000-0300-000000000000}"/>
    <hyperlink ref="A81" r:id="rId2" tooltip="Select to learn all about Get &amp; Transform from the web" xr:uid="{00000000-0004-0000-0300-000001000000}"/>
    <hyperlink ref="A82" r:id="rId3" tooltip="Select to learn all about the LEFT function from the web" xr:uid="{00000000-0004-0000-0300-000002000000}"/>
    <hyperlink ref="A83" r:id="rId4" tooltip="Select to learn all about the RIGHT function from the web" xr:uid="{00000000-0004-0000-0300-000003000000}"/>
    <hyperlink ref="A84" r:id="rId5" tooltip="Select to learn all about the FIND function from the web" xr:uid="{00000000-0004-0000-0300-000004000000}"/>
    <hyperlink ref="A85" r:id="rId6" tooltip="Select to learn all about the LEN function from the web" xr:uid="{00000000-0004-0000-0300-000005000000}"/>
  </hyperlinks>
  <pageMargins left="0.7" right="0.7" top="0.75" bottom="0.75" header="0.3" footer="0.3"/>
  <pageSetup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6"/>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s>
  <sheetData>
    <row r="1" spans="1:8" ht="60" customHeight="1" x14ac:dyDescent="0.3">
      <c r="A1" s="16" t="s">
        <v>127</v>
      </c>
    </row>
    <row r="2" spans="1:8" ht="15" customHeight="1" x14ac:dyDescent="0.3">
      <c r="A2" s="16" t="s">
        <v>162</v>
      </c>
    </row>
    <row r="3" spans="1:8" ht="15" customHeight="1" x14ac:dyDescent="0.3">
      <c r="A3" s="16" t="s">
        <v>163</v>
      </c>
    </row>
    <row r="4" spans="1:8" ht="15" customHeight="1" x14ac:dyDescent="0.3">
      <c r="A4" s="16" t="s">
        <v>164</v>
      </c>
    </row>
    <row r="5" spans="1:8" s="3" customFormat="1" ht="15" customHeight="1" x14ac:dyDescent="0.3">
      <c r="A5" s="16" t="s">
        <v>165</v>
      </c>
      <c r="B5"/>
      <c r="C5" s="27" t="s">
        <v>11</v>
      </c>
      <c r="D5" s="6" t="s">
        <v>12</v>
      </c>
      <c r="E5" s="6" t="s">
        <v>13</v>
      </c>
      <c r="F5" s="6" t="s">
        <v>14</v>
      </c>
      <c r="G5" s="6" t="s">
        <v>15</v>
      </c>
      <c r="H5" s="6" t="s">
        <v>16</v>
      </c>
    </row>
    <row r="6" spans="1:8" s="3" customFormat="1" ht="15" customHeight="1" x14ac:dyDescent="0.3">
      <c r="A6" s="16" t="s">
        <v>294</v>
      </c>
      <c r="B6"/>
      <c r="C6" s="27" t="s">
        <v>1</v>
      </c>
      <c r="D6" s="6">
        <v>50</v>
      </c>
      <c r="E6" s="6">
        <v>100</v>
      </c>
      <c r="F6" s="6">
        <v>40</v>
      </c>
      <c r="G6" s="6">
        <v>50</v>
      </c>
      <c r="H6" s="6">
        <v>20</v>
      </c>
    </row>
    <row r="7" spans="1:8" s="3" customFormat="1" ht="15" customHeight="1" x14ac:dyDescent="0.3">
      <c r="A7" s="16" t="s">
        <v>295</v>
      </c>
      <c r="B7"/>
      <c r="C7"/>
      <c r="D7"/>
      <c r="E7"/>
      <c r="F7"/>
      <c r="G7"/>
      <c r="H7"/>
    </row>
    <row r="8" spans="1:8" s="3" customFormat="1" ht="15" customHeight="1" x14ac:dyDescent="0.3">
      <c r="A8" s="16" t="s">
        <v>166</v>
      </c>
      <c r="B8"/>
      <c r="C8"/>
      <c r="D8"/>
      <c r="E8"/>
      <c r="F8"/>
      <c r="G8"/>
      <c r="H8"/>
    </row>
    <row r="9" spans="1:8" s="3" customFormat="1" ht="15" customHeight="1" x14ac:dyDescent="0.3">
      <c r="A9" s="16" t="s">
        <v>116</v>
      </c>
      <c r="B9" t="s">
        <v>167</v>
      </c>
      <c r="C9" s="7"/>
      <c r="D9"/>
      <c r="E9"/>
      <c r="F9"/>
      <c r="G9"/>
      <c r="H9"/>
    </row>
    <row r="10" spans="1:8" s="3" customFormat="1" ht="15" customHeight="1" x14ac:dyDescent="0.3">
      <c r="A10" s="16"/>
      <c r="B10"/>
      <c r="C10"/>
      <c r="D10"/>
      <c r="E10"/>
      <c r="F10"/>
      <c r="G10"/>
      <c r="H10"/>
    </row>
    <row r="11" spans="1:8" s="3" customFormat="1" ht="15" customHeight="1" x14ac:dyDescent="0.3">
      <c r="A11" s="16"/>
      <c r="B11"/>
      <c r="C11"/>
      <c r="D11"/>
      <c r="E11"/>
      <c r="F11"/>
      <c r="G11"/>
      <c r="H11"/>
    </row>
    <row r="12" spans="1:8" s="3" customFormat="1" ht="15" customHeight="1" x14ac:dyDescent="0.3">
      <c r="A12" s="16"/>
      <c r="B12"/>
      <c r="C12"/>
      <c r="D12"/>
      <c r="E12"/>
      <c r="F12"/>
      <c r="G12"/>
      <c r="H12"/>
    </row>
    <row r="13" spans="1:8" s="3" customFormat="1" ht="15" customHeight="1" x14ac:dyDescent="0.3">
      <c r="A13" s="16"/>
      <c r="B13"/>
      <c r="C13"/>
      <c r="D13"/>
      <c r="E13"/>
      <c r="F13"/>
      <c r="G13"/>
      <c r="H13"/>
    </row>
    <row r="14" spans="1:8" s="3" customFormat="1" ht="15" customHeight="1" x14ac:dyDescent="0.3">
      <c r="A14" s="16"/>
      <c r="B14"/>
      <c r="C14"/>
      <c r="D14"/>
      <c r="E14"/>
      <c r="F14"/>
      <c r="G14"/>
      <c r="H14"/>
    </row>
    <row r="15" spans="1:8" s="3" customFormat="1" ht="15" customHeight="1" x14ac:dyDescent="0.3">
      <c r="A15" s="16"/>
      <c r="B15"/>
      <c r="C15"/>
      <c r="D15"/>
      <c r="E15"/>
      <c r="F15"/>
      <c r="G15"/>
      <c r="H15"/>
    </row>
    <row r="16" spans="1:8" s="3" customFormat="1" ht="15" customHeight="1" x14ac:dyDescent="0.3">
      <c r="A16" s="16"/>
      <c r="B16"/>
      <c r="C16"/>
      <c r="D16"/>
      <c r="E16"/>
      <c r="F16"/>
      <c r="G16"/>
      <c r="H16"/>
    </row>
    <row r="17" spans="1:8" s="3" customFormat="1" ht="15" customHeight="1" x14ac:dyDescent="0.3">
      <c r="A17" s="16"/>
      <c r="B17"/>
      <c r="C17"/>
      <c r="D17"/>
      <c r="E17"/>
      <c r="F17"/>
      <c r="G17"/>
      <c r="H17"/>
    </row>
    <row r="18" spans="1:8" s="3" customFormat="1" ht="15" customHeight="1" x14ac:dyDescent="0.3">
      <c r="A18" s="16"/>
      <c r="B18"/>
      <c r="C18"/>
      <c r="D18"/>
      <c r="E18"/>
      <c r="F18"/>
      <c r="G18"/>
      <c r="H18"/>
    </row>
    <row r="19" spans="1:8" s="3" customFormat="1" ht="15" customHeight="1" x14ac:dyDescent="0.3">
      <c r="A19" s="16"/>
      <c r="B19"/>
      <c r="C19"/>
      <c r="D19"/>
      <c r="E19"/>
      <c r="F19"/>
      <c r="G19"/>
      <c r="H19"/>
    </row>
    <row r="20" spans="1:8" s="3" customFormat="1" ht="15" customHeight="1" x14ac:dyDescent="0.3">
      <c r="A20" s="16"/>
      <c r="B20"/>
      <c r="C20"/>
      <c r="D20"/>
      <c r="E20"/>
      <c r="F20"/>
      <c r="G20"/>
      <c r="H20"/>
    </row>
    <row r="21" spans="1:8" s="3" customFormat="1" ht="15" customHeight="1" x14ac:dyDescent="0.3">
      <c r="A21" s="16"/>
      <c r="B21"/>
      <c r="C21"/>
      <c r="D21"/>
      <c r="E21"/>
      <c r="F21"/>
      <c r="G21"/>
      <c r="H21"/>
    </row>
    <row r="22" spans="1:8" s="3" customFormat="1" ht="15" customHeight="1" x14ac:dyDescent="0.3">
      <c r="A22" s="16"/>
      <c r="B22"/>
    </row>
    <row r="23" spans="1:8" s="3" customFormat="1" ht="15" customHeight="1" x14ac:dyDescent="0.3">
      <c r="A23" s="16"/>
      <c r="B23"/>
    </row>
    <row r="24" spans="1:8" s="3" customFormat="1" ht="15" customHeight="1" x14ac:dyDescent="0.3">
      <c r="A24" s="16"/>
      <c r="B24"/>
    </row>
    <row r="27" spans="1:8" ht="15" customHeight="1" x14ac:dyDescent="0.3">
      <c r="A27" s="16" t="s">
        <v>169</v>
      </c>
    </row>
    <row r="28" spans="1:8" ht="15" customHeight="1" x14ac:dyDescent="0.3">
      <c r="A28" s="16" t="s">
        <v>170</v>
      </c>
    </row>
    <row r="29" spans="1:8" ht="15" customHeight="1" x14ac:dyDescent="0.3">
      <c r="A29" s="16" t="s">
        <v>342</v>
      </c>
    </row>
    <row r="30" spans="1:8" ht="15" customHeight="1" x14ac:dyDescent="0.3">
      <c r="A30" s="48" t="s">
        <v>351</v>
      </c>
    </row>
    <row r="31" spans="1:8" ht="15" customHeight="1" x14ac:dyDescent="0.3">
      <c r="A31" s="16" t="s">
        <v>171</v>
      </c>
    </row>
    <row r="32" spans="1:8" ht="15" customHeight="1" x14ac:dyDescent="0.3">
      <c r="A32" s="16" t="s">
        <v>172</v>
      </c>
    </row>
    <row r="33" spans="1:8" ht="15" customHeight="1" x14ac:dyDescent="0.3">
      <c r="A33" s="16" t="s">
        <v>176</v>
      </c>
      <c r="C33" s="27" t="s">
        <v>11</v>
      </c>
      <c r="D33" s="6" t="s">
        <v>12</v>
      </c>
      <c r="E33" s="6" t="s">
        <v>13</v>
      </c>
      <c r="F33" s="6" t="s">
        <v>14</v>
      </c>
      <c r="G33" s="6" t="s">
        <v>15</v>
      </c>
      <c r="H33" s="6" t="s">
        <v>16</v>
      </c>
    </row>
    <row r="34" spans="1:8" ht="15" customHeight="1" x14ac:dyDescent="0.3">
      <c r="C34" s="27" t="s">
        <v>1</v>
      </c>
      <c r="D34" s="6">
        <v>50</v>
      </c>
      <c r="E34" s="6">
        <v>100</v>
      </c>
      <c r="F34" s="6">
        <v>40</v>
      </c>
      <c r="G34" s="6">
        <v>50</v>
      </c>
      <c r="H34" s="6">
        <v>20</v>
      </c>
    </row>
    <row r="40" spans="1:8" ht="15" customHeight="1" x14ac:dyDescent="0.3">
      <c r="C40" s="7"/>
      <c r="D40" s="7"/>
    </row>
    <row r="41" spans="1:8" ht="15" customHeight="1" x14ac:dyDescent="0.3">
      <c r="C41" s="7"/>
      <c r="D41" s="7"/>
    </row>
    <row r="42" spans="1:8" ht="15" customHeight="1" x14ac:dyDescent="0.3">
      <c r="C42" s="7"/>
      <c r="D42" s="7"/>
    </row>
    <row r="43" spans="1:8" ht="15" customHeight="1" x14ac:dyDescent="0.3">
      <c r="C43" s="7"/>
      <c r="D43" s="7"/>
    </row>
    <row r="44" spans="1:8" ht="15" customHeight="1" x14ac:dyDescent="0.3">
      <c r="C44" s="7"/>
      <c r="D44" s="7"/>
    </row>
    <row r="45" spans="1:8" ht="15" customHeight="1" x14ac:dyDescent="0.3">
      <c r="C45" s="7"/>
      <c r="D45" s="7"/>
    </row>
    <row r="54" spans="1:1" ht="15" customHeight="1" x14ac:dyDescent="0.3">
      <c r="A54" s="16" t="s">
        <v>177</v>
      </c>
    </row>
    <row r="55" spans="1:1" ht="15" customHeight="1" x14ac:dyDescent="0.3">
      <c r="A55" s="16" t="s">
        <v>178</v>
      </c>
    </row>
    <row r="56" spans="1:1" ht="15" customHeight="1" x14ac:dyDescent="0.3">
      <c r="A56" s="16" t="s">
        <v>179</v>
      </c>
    </row>
    <row r="57" spans="1:1" ht="15" customHeight="1" x14ac:dyDescent="0.3">
      <c r="A57" s="16" t="s">
        <v>173</v>
      </c>
    </row>
    <row r="58" spans="1:1" ht="15" customHeight="1" x14ac:dyDescent="0.3">
      <c r="A58" s="16" t="s">
        <v>174</v>
      </c>
    </row>
    <row r="59" spans="1:1" ht="15" customHeight="1" x14ac:dyDescent="0.3">
      <c r="A59" s="16" t="s">
        <v>180</v>
      </c>
    </row>
    <row r="72" spans="1:1" ht="15" customHeight="1" x14ac:dyDescent="0.3">
      <c r="A72" s="16" t="s">
        <v>111</v>
      </c>
    </row>
    <row r="73" spans="1:1" ht="15" customHeight="1" x14ac:dyDescent="0.3">
      <c r="A73" s="16" t="s">
        <v>181</v>
      </c>
    </row>
    <row r="74" spans="1:1" ht="15" customHeight="1" x14ac:dyDescent="0.3">
      <c r="A74" s="16" t="s">
        <v>182</v>
      </c>
    </row>
    <row r="75" spans="1:1" ht="15" customHeight="1" x14ac:dyDescent="0.3">
      <c r="A75" s="16" t="s">
        <v>183</v>
      </c>
    </row>
    <row r="76" spans="1:1" ht="15" customHeight="1" x14ac:dyDescent="0.3">
      <c r="A76" s="16" t="s">
        <v>110</v>
      </c>
    </row>
  </sheetData>
  <hyperlinks>
    <hyperlink ref="A75" r:id="rId1" tooltip="Select to learn about creating an array formula from the web" xr:uid="{00000000-0004-0000-0400-000000000000}"/>
    <hyperlink ref="A74" r:id="rId2" tooltip="Select to learn all about the TRANSPOSE function from the web" xr:uid="{00000000-0004-0000-0400-000001000000}"/>
    <hyperlink ref="A73" r:id="rId3" tooltip="Select to learn about Transpose (rotate) data from rows to columns or vice versa from the web" xr:uid="{00000000-0004-0000-0400-000002000000}"/>
  </hyperlinks>
  <pageMargins left="0.7" right="0.7" top="0.75" bottom="0.75" header="0.3" footer="0.3"/>
  <pageSetup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15.109375" customWidth="1"/>
    <col min="4" max="4" width="12.5546875" customWidth="1"/>
    <col min="5" max="5" width="8.33203125" customWidth="1"/>
    <col min="6" max="6" width="9.33203125" customWidth="1"/>
    <col min="7" max="7" width="10.88671875" customWidth="1"/>
  </cols>
  <sheetData>
    <row r="1" spans="1:7" ht="60" customHeight="1" x14ac:dyDescent="0.3">
      <c r="A1" s="16" t="s">
        <v>128</v>
      </c>
    </row>
    <row r="2" spans="1:7" ht="15" customHeight="1" x14ac:dyDescent="0.3">
      <c r="A2" s="16" t="s">
        <v>302</v>
      </c>
    </row>
    <row r="3" spans="1:7" ht="15" customHeight="1" x14ac:dyDescent="0.3">
      <c r="A3" s="16" t="s">
        <v>296</v>
      </c>
    </row>
    <row r="4" spans="1:7" ht="15" customHeight="1" x14ac:dyDescent="0.3">
      <c r="A4" s="16" t="s">
        <v>297</v>
      </c>
    </row>
    <row r="5" spans="1:7" s="3" customFormat="1" ht="15" customHeight="1" x14ac:dyDescent="0.3">
      <c r="A5" s="16" t="s">
        <v>298</v>
      </c>
      <c r="B5"/>
      <c r="C5" s="27" t="s">
        <v>46</v>
      </c>
      <c r="D5" s="27" t="s">
        <v>26</v>
      </c>
      <c r="E5" s="27" t="s">
        <v>47</v>
      </c>
      <c r="F5" s="27" t="s">
        <v>48</v>
      </c>
      <c r="G5" s="27" t="s">
        <v>49</v>
      </c>
    </row>
    <row r="6" spans="1:7" s="3" customFormat="1" ht="15" customHeight="1" x14ac:dyDescent="0.3">
      <c r="A6" s="16" t="s">
        <v>299</v>
      </c>
      <c r="B6"/>
      <c r="C6" s="6" t="s">
        <v>6</v>
      </c>
      <c r="D6" s="6" t="s">
        <v>7</v>
      </c>
      <c r="E6" s="50">
        <v>90000</v>
      </c>
      <c r="F6" s="50">
        <v>110000</v>
      </c>
      <c r="G6" s="50">
        <v>120000</v>
      </c>
    </row>
    <row r="7" spans="1:7" s="3" customFormat="1" ht="15" customHeight="1" x14ac:dyDescent="0.3">
      <c r="A7" s="16" t="s">
        <v>300</v>
      </c>
      <c r="B7"/>
      <c r="C7" t="s">
        <v>45</v>
      </c>
      <c r="D7" t="s">
        <v>52</v>
      </c>
      <c r="E7" s="36">
        <v>25000</v>
      </c>
      <c r="F7" s="36">
        <v>80000</v>
      </c>
      <c r="G7" s="36">
        <v>120000</v>
      </c>
    </row>
    <row r="8" spans="1:7" s="3" customFormat="1" ht="15" customHeight="1" x14ac:dyDescent="0.3">
      <c r="A8" s="16" t="s">
        <v>116</v>
      </c>
      <c r="B8"/>
      <c r="C8" s="6" t="s">
        <v>28</v>
      </c>
      <c r="D8" s="6" t="s">
        <v>0</v>
      </c>
      <c r="E8" s="50">
        <v>10000</v>
      </c>
      <c r="F8" s="50">
        <v>30000</v>
      </c>
      <c r="G8" s="50">
        <v>40000</v>
      </c>
    </row>
    <row r="9" spans="1:7" s="3" customFormat="1" ht="15" customHeight="1" x14ac:dyDescent="0.3">
      <c r="A9" s="16"/>
      <c r="B9"/>
      <c r="C9" t="s">
        <v>28</v>
      </c>
      <c r="D9" t="s">
        <v>50</v>
      </c>
      <c r="E9" s="36">
        <v>30000</v>
      </c>
      <c r="F9" s="36">
        <v>80000</v>
      </c>
      <c r="G9" s="36">
        <v>30000</v>
      </c>
    </row>
    <row r="10" spans="1:7" s="3" customFormat="1" ht="15" customHeight="1" x14ac:dyDescent="0.3">
      <c r="A10" s="16"/>
      <c r="B10"/>
      <c r="C10" s="6" t="s">
        <v>53</v>
      </c>
      <c r="D10" s="6" t="s">
        <v>54</v>
      </c>
      <c r="E10" s="50">
        <v>90000</v>
      </c>
      <c r="F10" s="50">
        <v>35000</v>
      </c>
      <c r="G10" s="50">
        <v>25000</v>
      </c>
    </row>
    <row r="11" spans="1:7" s="3" customFormat="1" ht="15" customHeight="1" x14ac:dyDescent="0.3">
      <c r="A11" s="16"/>
      <c r="B11"/>
      <c r="C11" t="s">
        <v>6</v>
      </c>
      <c r="D11" t="s">
        <v>8</v>
      </c>
      <c r="E11" s="36">
        <v>75000</v>
      </c>
      <c r="F11" s="36">
        <v>82000</v>
      </c>
      <c r="G11" s="36">
        <v>2000000</v>
      </c>
    </row>
    <row r="12" spans="1:7" s="3" customFormat="1" ht="15" customHeight="1" x14ac:dyDescent="0.3">
      <c r="A12" s="16"/>
      <c r="B12"/>
      <c r="C12" s="5" t="s">
        <v>45</v>
      </c>
      <c r="D12" s="5" t="s">
        <v>51</v>
      </c>
      <c r="E12" s="28">
        <v>30000</v>
      </c>
      <c r="F12" s="28">
        <v>15000</v>
      </c>
      <c r="G12" s="28">
        <v>20000</v>
      </c>
    </row>
    <row r="13" spans="1:7" s="3" customFormat="1" ht="15" customHeight="1" x14ac:dyDescent="0.3">
      <c r="A13" s="16"/>
      <c r="B13"/>
      <c r="C13" t="s">
        <v>53</v>
      </c>
      <c r="D13" t="s">
        <v>64</v>
      </c>
      <c r="E13" s="36">
        <v>80000</v>
      </c>
      <c r="F13" s="36">
        <v>40000</v>
      </c>
      <c r="G13" s="36">
        <v>20000</v>
      </c>
    </row>
    <row r="14" spans="1:7" s="3" customFormat="1" ht="15" customHeight="1" x14ac:dyDescent="0.3">
      <c r="A14" s="16"/>
      <c r="B14"/>
      <c r="C14"/>
      <c r="D14"/>
      <c r="E14"/>
      <c r="F14"/>
      <c r="G14"/>
    </row>
    <row r="15" spans="1:7" s="3" customFormat="1" ht="15" customHeight="1" x14ac:dyDescent="0.3">
      <c r="A15" s="16"/>
      <c r="B15"/>
      <c r="C15"/>
      <c r="D15"/>
      <c r="E15"/>
      <c r="F15"/>
      <c r="G15"/>
    </row>
    <row r="16" spans="1:7" s="3" customFormat="1" ht="15" customHeight="1" x14ac:dyDescent="0.3">
      <c r="A16" s="16"/>
      <c r="B16"/>
      <c r="C16"/>
      <c r="D16"/>
      <c r="E16"/>
      <c r="F16"/>
      <c r="G16"/>
    </row>
    <row r="17" spans="1:7" s="3" customFormat="1" ht="15" customHeight="1" x14ac:dyDescent="0.3">
      <c r="A17" s="16"/>
      <c r="B17"/>
      <c r="C17"/>
      <c r="D17"/>
      <c r="E17"/>
      <c r="F17"/>
      <c r="G17"/>
    </row>
    <row r="18" spans="1:7" s="3" customFormat="1" ht="15" customHeight="1" x14ac:dyDescent="0.3">
      <c r="A18" s="16"/>
      <c r="B18"/>
      <c r="C18"/>
      <c r="D18"/>
      <c r="E18"/>
      <c r="F18"/>
      <c r="G18"/>
    </row>
    <row r="19" spans="1:7" s="3" customFormat="1" ht="15" customHeight="1" x14ac:dyDescent="0.3">
      <c r="A19" s="16"/>
      <c r="B19"/>
      <c r="C19"/>
      <c r="D19"/>
      <c r="E19"/>
      <c r="F19"/>
      <c r="G19"/>
    </row>
    <row r="20" spans="1:7" s="3" customFormat="1" ht="15" customHeight="1" x14ac:dyDescent="0.3">
      <c r="A20" s="16"/>
      <c r="B20"/>
      <c r="C20"/>
      <c r="D20"/>
      <c r="E20"/>
      <c r="F20"/>
      <c r="G20"/>
    </row>
    <row r="21" spans="1:7" s="3" customFormat="1" ht="15" customHeight="1" x14ac:dyDescent="0.3">
      <c r="A21" s="16"/>
      <c r="B21"/>
      <c r="C21"/>
      <c r="D21"/>
      <c r="E21"/>
      <c r="F21"/>
      <c r="G21"/>
    </row>
    <row r="22" spans="1:7" s="3" customFormat="1" ht="15" customHeight="1" x14ac:dyDescent="0.3">
      <c r="A22" s="16"/>
      <c r="B22"/>
    </row>
    <row r="23" spans="1:7" s="3" customFormat="1" ht="15" customHeight="1" x14ac:dyDescent="0.3">
      <c r="A23" s="16"/>
      <c r="B23"/>
    </row>
    <row r="24" spans="1:7" s="3" customFormat="1" ht="15" customHeight="1" x14ac:dyDescent="0.3">
      <c r="A24" s="16"/>
      <c r="B24"/>
    </row>
    <row r="27" spans="1:7" ht="15" customHeight="1" x14ac:dyDescent="0.3">
      <c r="A27" s="16" t="s">
        <v>184</v>
      </c>
    </row>
    <row r="28" spans="1:7" ht="15" customHeight="1" x14ac:dyDescent="0.3">
      <c r="A28" s="16" t="s">
        <v>303</v>
      </c>
    </row>
    <row r="29" spans="1:7" ht="15" customHeight="1" x14ac:dyDescent="0.3">
      <c r="A29" s="16" t="s">
        <v>301</v>
      </c>
    </row>
    <row r="30" spans="1:7" ht="15" customHeight="1" x14ac:dyDescent="0.3">
      <c r="A30" s="16" t="s">
        <v>304</v>
      </c>
    </row>
    <row r="31" spans="1:7" ht="15" customHeight="1" x14ac:dyDescent="0.3">
      <c r="A31" s="16" t="s">
        <v>363</v>
      </c>
      <c r="C31" t="s">
        <v>67</v>
      </c>
      <c r="D31" t="s">
        <v>68</v>
      </c>
      <c r="E31" t="s">
        <v>57</v>
      </c>
      <c r="F31" t="s">
        <v>69</v>
      </c>
    </row>
    <row r="32" spans="1:7" ht="15" customHeight="1" x14ac:dyDescent="0.3">
      <c r="A32" s="16" t="s">
        <v>186</v>
      </c>
      <c r="C32" s="41">
        <f ca="1">TODAY()-2</f>
        <v>45173</v>
      </c>
      <c r="D32" t="s">
        <v>70</v>
      </c>
      <c r="E32" s="34">
        <v>21</v>
      </c>
      <c r="F32" s="35">
        <v>3820</v>
      </c>
    </row>
    <row r="33" spans="1:6" ht="15" customHeight="1" x14ac:dyDescent="0.3">
      <c r="A33" s="16" t="s">
        <v>187</v>
      </c>
      <c r="C33" s="41">
        <f ca="1">TODAY()-3</f>
        <v>45172</v>
      </c>
      <c r="D33" t="s">
        <v>71</v>
      </c>
      <c r="E33" s="34">
        <v>62</v>
      </c>
      <c r="F33" s="34">
        <v>2112</v>
      </c>
    </row>
    <row r="34" spans="1:6" ht="15" customHeight="1" x14ac:dyDescent="0.3">
      <c r="C34" s="41">
        <f ca="1">TODAY()-6</f>
        <v>45169</v>
      </c>
      <c r="D34" t="s">
        <v>73</v>
      </c>
      <c r="E34" s="34">
        <v>25</v>
      </c>
      <c r="F34" s="34">
        <v>1611</v>
      </c>
    </row>
    <row r="35" spans="1:6" ht="15" customHeight="1" x14ac:dyDescent="0.3">
      <c r="C35" s="41">
        <f ca="1">TODAY()</f>
        <v>45175</v>
      </c>
      <c r="D35" t="s">
        <v>72</v>
      </c>
      <c r="E35" s="34">
        <v>30</v>
      </c>
      <c r="F35" s="35">
        <v>3085</v>
      </c>
    </row>
    <row r="36" spans="1:6" ht="15" customHeight="1" x14ac:dyDescent="0.3">
      <c r="C36" s="41">
        <f ca="1">TODAY()-4</f>
        <v>45171</v>
      </c>
      <c r="D36" t="s">
        <v>75</v>
      </c>
      <c r="E36" s="34">
        <v>69</v>
      </c>
      <c r="F36" s="34">
        <v>528</v>
      </c>
    </row>
    <row r="37" spans="1:6" ht="15" customHeight="1" x14ac:dyDescent="0.3">
      <c r="C37" s="41">
        <f ca="1">TODAY()-5</f>
        <v>45170</v>
      </c>
      <c r="D37" t="s">
        <v>74</v>
      </c>
      <c r="E37" s="34">
        <v>45</v>
      </c>
      <c r="F37" s="35">
        <v>5050</v>
      </c>
    </row>
    <row r="43" spans="1:6" ht="15" customHeight="1" x14ac:dyDescent="0.3">
      <c r="A43" s="16" t="s">
        <v>185</v>
      </c>
    </row>
    <row r="44" spans="1:6" ht="15" customHeight="1" x14ac:dyDescent="0.3">
      <c r="A44" s="16" t="s">
        <v>305</v>
      </c>
    </row>
    <row r="45" spans="1:6" ht="15" customHeight="1" x14ac:dyDescent="0.3">
      <c r="A45" s="16" t="s">
        <v>331</v>
      </c>
    </row>
    <row r="46" spans="1:6" ht="15" customHeight="1" x14ac:dyDescent="0.3">
      <c r="A46" s="16" t="s">
        <v>332</v>
      </c>
    </row>
    <row r="47" spans="1:6" ht="15" customHeight="1" x14ac:dyDescent="0.3">
      <c r="A47" s="16" t="s">
        <v>204</v>
      </c>
    </row>
    <row r="49" spans="1:6" ht="15" customHeight="1" x14ac:dyDescent="0.3">
      <c r="C49" t="s">
        <v>67</v>
      </c>
      <c r="D49" t="s">
        <v>68</v>
      </c>
      <c r="E49" t="s">
        <v>57</v>
      </c>
      <c r="F49" t="s">
        <v>69</v>
      </c>
    </row>
    <row r="50" spans="1:6" ht="15" customHeight="1" x14ac:dyDescent="0.3">
      <c r="C50" s="41">
        <f ca="1">TODAY()-2</f>
        <v>45173</v>
      </c>
      <c r="D50" t="s">
        <v>70</v>
      </c>
      <c r="E50" s="34">
        <v>21</v>
      </c>
      <c r="F50" s="34">
        <v>3820</v>
      </c>
    </row>
    <row r="51" spans="1:6" ht="15" customHeight="1" x14ac:dyDescent="0.3">
      <c r="C51" s="41">
        <f ca="1">TODAY()-3</f>
        <v>45172</v>
      </c>
      <c r="D51" t="s">
        <v>71</v>
      </c>
      <c r="E51" s="34">
        <v>62</v>
      </c>
      <c r="F51" s="34">
        <v>2112</v>
      </c>
    </row>
    <row r="52" spans="1:6" ht="15" customHeight="1" x14ac:dyDescent="0.3">
      <c r="C52" s="41">
        <f ca="1">TODAY()</f>
        <v>45175</v>
      </c>
      <c r="D52" t="s">
        <v>72</v>
      </c>
      <c r="E52" s="34">
        <v>30</v>
      </c>
      <c r="F52" s="34">
        <v>3085</v>
      </c>
    </row>
    <row r="53" spans="1:6" ht="15" customHeight="1" x14ac:dyDescent="0.3">
      <c r="C53" s="41">
        <f ca="1">TODAY()-6</f>
        <v>45169</v>
      </c>
      <c r="D53" t="s">
        <v>73</v>
      </c>
      <c r="E53" s="34">
        <v>25</v>
      </c>
      <c r="F53" s="34">
        <v>1611</v>
      </c>
    </row>
    <row r="54" spans="1:6" ht="15" customHeight="1" x14ac:dyDescent="0.3">
      <c r="C54" s="41">
        <f ca="1">TODAY()-5</f>
        <v>45170</v>
      </c>
      <c r="D54" t="s">
        <v>74</v>
      </c>
      <c r="E54" s="34">
        <v>45</v>
      </c>
      <c r="F54" s="34">
        <v>5050</v>
      </c>
    </row>
    <row r="55" spans="1:6" ht="15" customHeight="1" x14ac:dyDescent="0.3">
      <c r="C55" s="41">
        <f ca="1">TODAY()-4</f>
        <v>45171</v>
      </c>
      <c r="D55" t="s">
        <v>75</v>
      </c>
      <c r="E55" s="34">
        <v>69</v>
      </c>
      <c r="F55" s="34">
        <v>528</v>
      </c>
    </row>
    <row r="60" spans="1:6" ht="15" customHeight="1" x14ac:dyDescent="0.3">
      <c r="A60" s="16" t="s">
        <v>111</v>
      </c>
    </row>
    <row r="61" spans="1:6" ht="15" customHeight="1" x14ac:dyDescent="0.3">
      <c r="A61" s="16" t="s">
        <v>188</v>
      </c>
    </row>
    <row r="62" spans="1:6" ht="15" customHeight="1" x14ac:dyDescent="0.3">
      <c r="A62" s="16" t="s">
        <v>189</v>
      </c>
    </row>
    <row r="63" spans="1:6" ht="15" customHeight="1" x14ac:dyDescent="0.3">
      <c r="A63" s="16" t="s">
        <v>110</v>
      </c>
    </row>
  </sheetData>
  <sortState xmlns:xlrd2="http://schemas.microsoft.com/office/spreadsheetml/2017/richdata2" ref="C6:G13">
    <sortCondition ref="G5"/>
  </sortState>
  <hyperlinks>
    <hyperlink ref="A62" r:id="rId1" tooltip="Select to learn about filtering data in a range or table from the web" xr:uid="{00000000-0004-0000-0500-000000000000}"/>
    <hyperlink ref="A61" r:id="rId2" tooltip="Select to learn about sorting data in a range or table from the web" xr:uid="{00000000-0004-0000-0500-000001000000}"/>
  </hyperlinks>
  <pageMargins left="0.7" right="0.7" top="0.75" bottom="0.75" header="0.3" footer="0.3"/>
  <pageSetup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13.88671875" customWidth="1"/>
    <col min="4" max="4" width="11" customWidth="1"/>
    <col min="5" max="8" width="9.33203125" customWidth="1"/>
  </cols>
  <sheetData>
    <row r="1" spans="1:8" ht="60" customHeight="1" x14ac:dyDescent="0.85">
      <c r="A1" s="16" t="s">
        <v>129</v>
      </c>
      <c r="B1" s="1"/>
    </row>
    <row r="2" spans="1:8" ht="15" customHeight="1" x14ac:dyDescent="0.3">
      <c r="A2" s="16" t="s">
        <v>190</v>
      </c>
    </row>
    <row r="3" spans="1:8" ht="15" customHeight="1" x14ac:dyDescent="0.45">
      <c r="A3" s="16" t="s">
        <v>232</v>
      </c>
      <c r="B3" s="2"/>
    </row>
    <row r="4" spans="1:8" ht="15" customHeight="1" x14ac:dyDescent="0.3">
      <c r="A4" s="16" t="s">
        <v>306</v>
      </c>
    </row>
    <row r="5" spans="1:8" s="3" customFormat="1" ht="15" customHeight="1" x14ac:dyDescent="0.3">
      <c r="A5" s="16" t="s">
        <v>191</v>
      </c>
      <c r="C5" t="s">
        <v>46</v>
      </c>
      <c r="D5" t="s">
        <v>26</v>
      </c>
      <c r="E5" t="s">
        <v>47</v>
      </c>
      <c r="F5" t="s">
        <v>48</v>
      </c>
      <c r="G5" t="s">
        <v>49</v>
      </c>
      <c r="H5"/>
    </row>
    <row r="6" spans="1:8" s="3" customFormat="1" ht="15" customHeight="1" x14ac:dyDescent="0.45">
      <c r="A6" s="16" t="s">
        <v>307</v>
      </c>
      <c r="B6" s="4"/>
      <c r="C6" t="s">
        <v>28</v>
      </c>
      <c r="D6" t="s">
        <v>50</v>
      </c>
      <c r="E6">
        <v>30000</v>
      </c>
      <c r="F6">
        <v>80000</v>
      </c>
      <c r="G6">
        <v>30000</v>
      </c>
      <c r="H6"/>
    </row>
    <row r="7" spans="1:8" s="3" customFormat="1" ht="15" customHeight="1" x14ac:dyDescent="0.3">
      <c r="A7" s="16" t="s">
        <v>333</v>
      </c>
      <c r="C7" t="s">
        <v>28</v>
      </c>
      <c r="D7" t="s">
        <v>0</v>
      </c>
      <c r="E7">
        <v>10000</v>
      </c>
      <c r="F7">
        <v>30000</v>
      </c>
      <c r="G7">
        <v>40000</v>
      </c>
      <c r="H7"/>
    </row>
    <row r="8" spans="1:8" s="3" customFormat="1" ht="15" customHeight="1" x14ac:dyDescent="0.3">
      <c r="A8" s="16" t="s">
        <v>233</v>
      </c>
      <c r="C8" t="s">
        <v>45</v>
      </c>
      <c r="D8" t="s">
        <v>51</v>
      </c>
      <c r="E8">
        <v>30000</v>
      </c>
      <c r="F8">
        <v>15000</v>
      </c>
      <c r="G8">
        <v>20000</v>
      </c>
      <c r="H8"/>
    </row>
    <row r="9" spans="1:8" s="3" customFormat="1" ht="15" customHeight="1" x14ac:dyDescent="0.3">
      <c r="A9" s="48" t="s">
        <v>334</v>
      </c>
      <c r="C9" t="s">
        <v>45</v>
      </c>
      <c r="D9" t="s">
        <v>52</v>
      </c>
      <c r="E9">
        <v>25000</v>
      </c>
      <c r="F9">
        <v>80000</v>
      </c>
      <c r="G9">
        <v>120000</v>
      </c>
      <c r="H9"/>
    </row>
    <row r="10" spans="1:8" s="3" customFormat="1" ht="15" customHeight="1" x14ac:dyDescent="0.3">
      <c r="A10" s="16" t="s">
        <v>116</v>
      </c>
      <c r="C10" t="s">
        <v>53</v>
      </c>
      <c r="D10" t="s">
        <v>65</v>
      </c>
      <c r="E10">
        <v>80000</v>
      </c>
      <c r="F10">
        <v>40000</v>
      </c>
      <c r="G10">
        <v>20000</v>
      </c>
      <c r="H10"/>
    </row>
    <row r="11" spans="1:8" s="3" customFormat="1" ht="15" customHeight="1" x14ac:dyDescent="0.3">
      <c r="A11" s="16"/>
      <c r="C11" t="s">
        <v>53</v>
      </c>
      <c r="D11" t="s">
        <v>54</v>
      </c>
      <c r="E11">
        <v>90000</v>
      </c>
      <c r="F11">
        <v>35000</v>
      </c>
      <c r="G11">
        <v>25000</v>
      </c>
      <c r="H11"/>
    </row>
    <row r="12" spans="1:8" s="3" customFormat="1" ht="15" customHeight="1" x14ac:dyDescent="0.3">
      <c r="A12" s="16"/>
      <c r="C12" t="s">
        <v>6</v>
      </c>
      <c r="D12" t="s">
        <v>7</v>
      </c>
      <c r="E12">
        <v>90000</v>
      </c>
      <c r="F12">
        <v>110000</v>
      </c>
      <c r="G12">
        <v>200000</v>
      </c>
      <c r="H12"/>
    </row>
    <row r="13" spans="1:8" s="3" customFormat="1" ht="15" customHeight="1" x14ac:dyDescent="0.3">
      <c r="A13" s="16"/>
      <c r="C13" t="s">
        <v>6</v>
      </c>
      <c r="D13" t="s">
        <v>8</v>
      </c>
      <c r="E13">
        <v>75000</v>
      </c>
      <c r="F13">
        <v>82000</v>
      </c>
      <c r="G13">
        <v>150000</v>
      </c>
      <c r="H13"/>
    </row>
    <row r="14" spans="1:8" s="3" customFormat="1" ht="15" customHeight="1" x14ac:dyDescent="0.3">
      <c r="A14" s="16"/>
      <c r="C14"/>
      <c r="D14"/>
      <c r="E14"/>
      <c r="F14"/>
      <c r="G14"/>
      <c r="H14"/>
    </row>
    <row r="15" spans="1:8" s="3" customFormat="1" ht="15" customHeight="1" x14ac:dyDescent="0.3">
      <c r="A15" s="16"/>
      <c r="C15"/>
      <c r="D15"/>
      <c r="E15"/>
      <c r="F15"/>
      <c r="G15"/>
      <c r="H15"/>
    </row>
    <row r="16" spans="1:8" s="3" customFormat="1" ht="15" customHeight="1" x14ac:dyDescent="0.3">
      <c r="A16" s="16"/>
      <c r="C16"/>
      <c r="D16"/>
      <c r="E16"/>
      <c r="F16"/>
      <c r="G16"/>
      <c r="H16"/>
    </row>
    <row r="17" spans="1:8" s="3" customFormat="1" ht="15" customHeight="1" x14ac:dyDescent="0.3">
      <c r="A17" s="16"/>
      <c r="C17"/>
      <c r="D17"/>
      <c r="E17"/>
      <c r="F17"/>
      <c r="G17"/>
      <c r="H17"/>
    </row>
    <row r="18" spans="1:8" s="3" customFormat="1" ht="15" customHeight="1" x14ac:dyDescent="0.3">
      <c r="A18" s="16"/>
      <c r="C18"/>
      <c r="D18"/>
      <c r="E18"/>
      <c r="F18"/>
      <c r="G18"/>
      <c r="H18"/>
    </row>
    <row r="19" spans="1:8" s="3" customFormat="1" ht="15" customHeight="1" x14ac:dyDescent="0.3">
      <c r="A19" s="16"/>
      <c r="C19"/>
      <c r="D19"/>
      <c r="E19"/>
      <c r="F19"/>
      <c r="G19"/>
      <c r="H19"/>
    </row>
    <row r="20" spans="1:8" s="3" customFormat="1" ht="15" customHeight="1" x14ac:dyDescent="0.3">
      <c r="A20" s="16"/>
      <c r="C20"/>
      <c r="D20"/>
      <c r="E20"/>
      <c r="F20"/>
      <c r="G20"/>
      <c r="H20"/>
    </row>
    <row r="21" spans="1:8" s="3" customFormat="1" ht="15" customHeight="1" x14ac:dyDescent="0.3">
      <c r="A21" s="16"/>
      <c r="C21"/>
      <c r="D21"/>
      <c r="E21"/>
      <c r="F21"/>
      <c r="G21"/>
      <c r="H21"/>
    </row>
    <row r="22" spans="1:8" s="3" customFormat="1" ht="15" customHeight="1" x14ac:dyDescent="0.3">
      <c r="A22" s="16"/>
    </row>
    <row r="23" spans="1:8" s="3" customFormat="1" ht="15" customHeight="1" x14ac:dyDescent="0.3">
      <c r="A23" s="16"/>
    </row>
    <row r="24" spans="1:8" s="3" customFormat="1" ht="15" customHeight="1" x14ac:dyDescent="0.3">
      <c r="A24" s="16"/>
    </row>
    <row r="27" spans="1:8" ht="15" customHeight="1" x14ac:dyDescent="0.3">
      <c r="A27" s="16" t="s">
        <v>192</v>
      </c>
    </row>
    <row r="28" spans="1:8" ht="15" customHeight="1" x14ac:dyDescent="0.3">
      <c r="A28" s="16" t="s">
        <v>193</v>
      </c>
    </row>
    <row r="29" spans="1:8" ht="15" customHeight="1" x14ac:dyDescent="0.3">
      <c r="A29" s="16" t="s">
        <v>308</v>
      </c>
    </row>
    <row r="30" spans="1:8" ht="15" customHeight="1" x14ac:dyDescent="0.3">
      <c r="A30" s="16" t="s">
        <v>234</v>
      </c>
    </row>
    <row r="31" spans="1:8" ht="15" customHeight="1" x14ac:dyDescent="0.3">
      <c r="A31" s="16" t="s">
        <v>309</v>
      </c>
    </row>
    <row r="32" spans="1:8" ht="15" customHeight="1" x14ac:dyDescent="0.3">
      <c r="A32" s="16" t="s">
        <v>235</v>
      </c>
    </row>
    <row r="33" spans="1:8" ht="15" customHeight="1" x14ac:dyDescent="0.3">
      <c r="A33" s="16" t="s">
        <v>194</v>
      </c>
      <c r="C33" s="27" t="s">
        <v>46</v>
      </c>
      <c r="D33" s="27" t="s">
        <v>26</v>
      </c>
      <c r="E33" s="27" t="s">
        <v>47</v>
      </c>
      <c r="F33" s="27" t="s">
        <v>48</v>
      </c>
      <c r="G33" s="27" t="s">
        <v>49</v>
      </c>
      <c r="H33" s="27" t="s">
        <v>55</v>
      </c>
    </row>
    <row r="34" spans="1:8" ht="15" customHeight="1" x14ac:dyDescent="0.3">
      <c r="C34" s="5" t="s">
        <v>28</v>
      </c>
      <c r="D34" s="5" t="s">
        <v>50</v>
      </c>
      <c r="E34" s="28">
        <v>30000</v>
      </c>
      <c r="F34" s="28">
        <v>80000</v>
      </c>
      <c r="G34" s="28">
        <v>30000</v>
      </c>
      <c r="H34" s="36"/>
    </row>
    <row r="35" spans="1:8" ht="15" customHeight="1" x14ac:dyDescent="0.3">
      <c r="C35" t="s">
        <v>28</v>
      </c>
      <c r="D35" t="s">
        <v>0</v>
      </c>
      <c r="E35" s="36">
        <v>10000</v>
      </c>
      <c r="F35" s="36">
        <v>30000</v>
      </c>
      <c r="G35" s="36">
        <v>40000</v>
      </c>
      <c r="H35" s="36"/>
    </row>
    <row r="36" spans="1:8" ht="15" customHeight="1" x14ac:dyDescent="0.3">
      <c r="C36" s="5" t="s">
        <v>45</v>
      </c>
      <c r="D36" s="5" t="s">
        <v>51</v>
      </c>
      <c r="E36" s="28">
        <v>30000</v>
      </c>
      <c r="F36" s="28">
        <v>15000</v>
      </c>
      <c r="G36" s="28">
        <v>20000</v>
      </c>
      <c r="H36" s="36"/>
    </row>
    <row r="37" spans="1:8" ht="15" customHeight="1" x14ac:dyDescent="0.3">
      <c r="C37" t="s">
        <v>45</v>
      </c>
      <c r="D37" t="s">
        <v>52</v>
      </c>
      <c r="E37" s="36">
        <v>25000</v>
      </c>
      <c r="F37" s="36">
        <v>80000</v>
      </c>
      <c r="G37" s="36">
        <v>120000</v>
      </c>
      <c r="H37" s="36"/>
    </row>
    <row r="38" spans="1:8" ht="15" customHeight="1" x14ac:dyDescent="0.3">
      <c r="C38" s="5" t="s">
        <v>53</v>
      </c>
      <c r="D38" s="5" t="s">
        <v>64</v>
      </c>
      <c r="E38" s="28">
        <v>80000</v>
      </c>
      <c r="F38" s="28">
        <v>40000</v>
      </c>
      <c r="G38" s="28">
        <v>20000</v>
      </c>
      <c r="H38" s="36"/>
    </row>
    <row r="39" spans="1:8" ht="15" customHeight="1" x14ac:dyDescent="0.3">
      <c r="C39" t="s">
        <v>53</v>
      </c>
      <c r="D39" t="s">
        <v>54</v>
      </c>
      <c r="E39" s="36">
        <v>90000</v>
      </c>
      <c r="F39" s="36">
        <v>35000</v>
      </c>
      <c r="G39" s="36">
        <v>25000</v>
      </c>
      <c r="H39" s="36"/>
    </row>
    <row r="40" spans="1:8" ht="15" customHeight="1" x14ac:dyDescent="0.3">
      <c r="C40" s="5" t="s">
        <v>6</v>
      </c>
      <c r="D40" s="5" t="s">
        <v>7</v>
      </c>
      <c r="E40" s="28">
        <v>90000</v>
      </c>
      <c r="F40" s="28">
        <v>110000</v>
      </c>
      <c r="G40" s="28">
        <v>200000</v>
      </c>
      <c r="H40" s="36"/>
    </row>
    <row r="41" spans="1:8" ht="15" customHeight="1" x14ac:dyDescent="0.3">
      <c r="C41" t="s">
        <v>6</v>
      </c>
      <c r="D41" t="s">
        <v>8</v>
      </c>
      <c r="E41" s="36">
        <v>75000</v>
      </c>
      <c r="F41" s="36">
        <v>82000</v>
      </c>
      <c r="G41" s="36">
        <v>150000</v>
      </c>
      <c r="H41" s="36"/>
    </row>
    <row r="47" spans="1:8" ht="15" customHeight="1" x14ac:dyDescent="0.3">
      <c r="A47" s="16" t="s">
        <v>195</v>
      </c>
    </row>
    <row r="48" spans="1:8" ht="15" customHeight="1" x14ac:dyDescent="0.3">
      <c r="A48" s="16" t="s">
        <v>196</v>
      </c>
    </row>
    <row r="49" spans="1:5" ht="15" customHeight="1" x14ac:dyDescent="0.3">
      <c r="A49" s="16" t="s">
        <v>310</v>
      </c>
    </row>
    <row r="50" spans="1:5" ht="15" customHeight="1" x14ac:dyDescent="0.3">
      <c r="A50" s="16" t="s">
        <v>236</v>
      </c>
    </row>
    <row r="51" spans="1:5" ht="15" customHeight="1" x14ac:dyDescent="0.3">
      <c r="A51" s="16" t="s">
        <v>311</v>
      </c>
    </row>
    <row r="52" spans="1:5" ht="15" customHeight="1" x14ac:dyDescent="0.3">
      <c r="A52" s="16" t="s">
        <v>312</v>
      </c>
    </row>
    <row r="53" spans="1:5" ht="15" customHeight="1" x14ac:dyDescent="0.3">
      <c r="A53" s="16" t="s">
        <v>313</v>
      </c>
      <c r="C53" s="27" t="s">
        <v>46</v>
      </c>
      <c r="D53" s="27" t="s">
        <v>26</v>
      </c>
      <c r="E53" s="27" t="s">
        <v>56</v>
      </c>
    </row>
    <row r="54" spans="1:5" ht="15" customHeight="1" x14ac:dyDescent="0.3">
      <c r="A54" s="16" t="s">
        <v>237</v>
      </c>
      <c r="C54" s="5" t="s">
        <v>28</v>
      </c>
      <c r="D54" s="5" t="s">
        <v>50</v>
      </c>
      <c r="E54" s="36">
        <v>1000</v>
      </c>
    </row>
    <row r="55" spans="1:5" ht="15" customHeight="1" x14ac:dyDescent="0.3">
      <c r="A55" s="16" t="s">
        <v>314</v>
      </c>
      <c r="C55" t="s">
        <v>28</v>
      </c>
      <c r="D55" t="s">
        <v>0</v>
      </c>
      <c r="E55" s="36">
        <v>2000</v>
      </c>
    </row>
    <row r="56" spans="1:5" ht="15" customHeight="1" x14ac:dyDescent="0.3">
      <c r="A56" s="16" t="s">
        <v>238</v>
      </c>
      <c r="C56" s="5" t="s">
        <v>45</v>
      </c>
      <c r="D56" s="5" t="s">
        <v>51</v>
      </c>
      <c r="E56" s="36">
        <v>3000</v>
      </c>
    </row>
    <row r="57" spans="1:5" ht="15" customHeight="1" x14ac:dyDescent="0.3">
      <c r="A57" s="16" t="s">
        <v>180</v>
      </c>
      <c r="C57" t="s">
        <v>45</v>
      </c>
      <c r="D57" t="s">
        <v>52</v>
      </c>
      <c r="E57" s="36">
        <v>1000</v>
      </c>
    </row>
    <row r="58" spans="1:5" ht="15" customHeight="1" x14ac:dyDescent="0.3">
      <c r="C58" s="5" t="s">
        <v>53</v>
      </c>
      <c r="D58" s="5" t="s">
        <v>64</v>
      </c>
      <c r="E58" s="36">
        <v>2000</v>
      </c>
    </row>
    <row r="59" spans="1:5" ht="15" customHeight="1" x14ac:dyDescent="0.3">
      <c r="C59" t="s">
        <v>53</v>
      </c>
      <c r="D59" t="s">
        <v>54</v>
      </c>
      <c r="E59" s="36">
        <v>3000</v>
      </c>
    </row>
    <row r="60" spans="1:5" ht="15" customHeight="1" x14ac:dyDescent="0.3">
      <c r="C60" s="5" t="s">
        <v>6</v>
      </c>
      <c r="D60" s="5" t="s">
        <v>7</v>
      </c>
      <c r="E60" s="36">
        <v>4000</v>
      </c>
    </row>
    <row r="61" spans="1:5" ht="15" customHeight="1" x14ac:dyDescent="0.3">
      <c r="C61" t="s">
        <v>6</v>
      </c>
      <c r="D61" t="s">
        <v>8</v>
      </c>
      <c r="E61" s="36">
        <v>8000</v>
      </c>
    </row>
    <row r="72" spans="1:2" ht="15" customHeight="1" x14ac:dyDescent="0.3">
      <c r="A72" s="16" t="s">
        <v>111</v>
      </c>
    </row>
    <row r="73" spans="1:2" ht="15" customHeight="1" x14ac:dyDescent="0.3">
      <c r="A73" s="16" t="s">
        <v>197</v>
      </c>
    </row>
    <row r="74" spans="1:2" ht="15" customHeight="1" x14ac:dyDescent="0.3">
      <c r="A74" s="16" t="s">
        <v>198</v>
      </c>
    </row>
    <row r="75" spans="1:2" ht="15" customHeight="1" x14ac:dyDescent="0.3">
      <c r="A75" s="16" t="s">
        <v>199</v>
      </c>
    </row>
    <row r="76" spans="1:2" ht="15" customHeight="1" x14ac:dyDescent="0.3">
      <c r="A76" s="16" t="s">
        <v>110</v>
      </c>
      <c r="B76" t="s">
        <v>168</v>
      </c>
    </row>
  </sheetData>
  <hyperlinks>
    <hyperlink ref="A75" r:id="rId1" tooltip="Select to learn about using calculated columns in an Excel table from the web" xr:uid="{00000000-0004-0000-0600-000000000000}"/>
    <hyperlink ref="A74" r:id="rId2" tooltip="Select to learn about Total the data in an Excel table from the web" xr:uid="{00000000-0004-0000-0600-000001000000}"/>
    <hyperlink ref="A73" r:id="rId3" tooltip="Select to learn an overview of Excel tables from the web" xr:uid="{00000000-0004-0000-0600-000002000000}"/>
  </hyperlinks>
  <pageMargins left="0.7" right="0.7" top="0.75" bottom="0.75" header="0.3" footer="0.3"/>
  <pageSetup orientation="portrait" r:id="rId4"/>
  <drawing r:id="rId5"/>
  <tableParts count="2">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4" width="11.6640625" customWidth="1"/>
    <col min="5" max="6" width="13.88671875" customWidth="1"/>
  </cols>
  <sheetData>
    <row r="1" spans="1:6" ht="60" customHeight="1" x14ac:dyDescent="0.3">
      <c r="A1" s="16" t="s">
        <v>130</v>
      </c>
    </row>
    <row r="2" spans="1:6" ht="15" customHeight="1" x14ac:dyDescent="0.3">
      <c r="A2" s="16" t="s">
        <v>200</v>
      </c>
    </row>
    <row r="3" spans="1:6" ht="15" customHeight="1" x14ac:dyDescent="0.3">
      <c r="A3" s="16" t="s">
        <v>315</v>
      </c>
      <c r="C3" s="27" t="s">
        <v>57</v>
      </c>
      <c r="D3" s="27" t="s">
        <v>46</v>
      </c>
    </row>
    <row r="4" spans="1:6" ht="15" customHeight="1" x14ac:dyDescent="0.3">
      <c r="A4" s="16" t="s">
        <v>201</v>
      </c>
      <c r="C4" s="6" t="s">
        <v>2</v>
      </c>
      <c r="D4" s="7"/>
    </row>
    <row r="5" spans="1:6" s="3" customFormat="1" ht="15" customHeight="1" x14ac:dyDescent="0.3">
      <c r="A5" s="16" t="s">
        <v>316</v>
      </c>
      <c r="B5"/>
      <c r="C5" s="6" t="s">
        <v>7</v>
      </c>
      <c r="D5" s="7"/>
      <c r="F5"/>
    </row>
    <row r="6" spans="1:6" s="3" customFormat="1" ht="15" customHeight="1" x14ac:dyDescent="0.3">
      <c r="A6" s="16" t="s">
        <v>375</v>
      </c>
      <c r="B6"/>
      <c r="C6" s="6" t="s">
        <v>4</v>
      </c>
      <c r="D6" s="7"/>
      <c r="F6"/>
    </row>
    <row r="7" spans="1:6" s="3" customFormat="1" ht="15" customHeight="1" x14ac:dyDescent="0.3">
      <c r="A7" s="16" t="s">
        <v>317</v>
      </c>
      <c r="B7"/>
      <c r="C7" s="6" t="s">
        <v>5</v>
      </c>
      <c r="D7" s="7"/>
      <c r="F7"/>
    </row>
    <row r="8" spans="1:6" s="3" customFormat="1" ht="15" customHeight="1" x14ac:dyDescent="0.3">
      <c r="A8" s="16" t="s">
        <v>335</v>
      </c>
      <c r="B8"/>
      <c r="C8" s="6" t="s">
        <v>58</v>
      </c>
      <c r="D8" s="7"/>
      <c r="F8"/>
    </row>
    <row r="9" spans="1:6" s="3" customFormat="1" ht="15" customHeight="1" x14ac:dyDescent="0.3">
      <c r="A9" s="16" t="s">
        <v>239</v>
      </c>
      <c r="B9"/>
      <c r="C9" s="6" t="s">
        <v>59</v>
      </c>
      <c r="D9" s="7"/>
      <c r="F9"/>
    </row>
    <row r="10" spans="1:6" s="3" customFormat="1" ht="15" customHeight="1" x14ac:dyDescent="0.3">
      <c r="A10" s="16" t="s">
        <v>116</v>
      </c>
      <c r="B10"/>
      <c r="C10" s="6" t="s">
        <v>60</v>
      </c>
      <c r="D10" s="7"/>
      <c r="F10"/>
    </row>
    <row r="11" spans="1:6" s="3" customFormat="1" ht="15" customHeight="1" x14ac:dyDescent="0.3">
      <c r="A11" s="16"/>
      <c r="B11"/>
      <c r="C11" s="6" t="s">
        <v>12</v>
      </c>
      <c r="D11" s="7"/>
      <c r="F11"/>
    </row>
    <row r="12" spans="1:6" s="3" customFormat="1" ht="15" customHeight="1" x14ac:dyDescent="0.3">
      <c r="A12" s="16"/>
      <c r="B12"/>
      <c r="C12" s="6" t="s">
        <v>8</v>
      </c>
      <c r="D12" s="7"/>
      <c r="F12"/>
    </row>
    <row r="13" spans="1:6" s="3" customFormat="1" ht="15" customHeight="1" x14ac:dyDescent="0.3">
      <c r="A13" s="16"/>
      <c r="B13"/>
      <c r="C13" s="6" t="s">
        <v>14</v>
      </c>
      <c r="D13" s="7"/>
      <c r="F13"/>
    </row>
    <row r="14" spans="1:6" s="3" customFormat="1" ht="15" customHeight="1" x14ac:dyDescent="0.3">
      <c r="A14" s="16"/>
      <c r="B14"/>
      <c r="C14" s="6" t="s">
        <v>15</v>
      </c>
      <c r="D14" s="7"/>
      <c r="F14"/>
    </row>
    <row r="15" spans="1:6" s="3" customFormat="1" ht="15" customHeight="1" x14ac:dyDescent="0.3">
      <c r="A15" s="16"/>
      <c r="B15"/>
      <c r="C15" s="6" t="s">
        <v>16</v>
      </c>
      <c r="D15" s="7"/>
      <c r="F15"/>
    </row>
    <row r="16" spans="1:6" s="3" customFormat="1" ht="15" customHeight="1" x14ac:dyDescent="0.3">
      <c r="A16" s="16"/>
      <c r="B16"/>
    </row>
    <row r="17" spans="1:6" s="3" customFormat="1" ht="15" customHeight="1" x14ac:dyDescent="0.3">
      <c r="A17" s="16"/>
      <c r="B17"/>
    </row>
    <row r="18" spans="1:6" s="3" customFormat="1" ht="15" customHeight="1" x14ac:dyDescent="0.3">
      <c r="A18" s="16"/>
      <c r="B18"/>
      <c r="C18"/>
      <c r="D18"/>
      <c r="E18"/>
      <c r="F18"/>
    </row>
    <row r="19" spans="1:6" s="3" customFormat="1" ht="15" customHeight="1" x14ac:dyDescent="0.3">
      <c r="A19" s="16"/>
      <c r="B19"/>
      <c r="C19"/>
      <c r="D19"/>
      <c r="E19"/>
      <c r="F19"/>
    </row>
    <row r="20" spans="1:6" s="3" customFormat="1" ht="15" customHeight="1" x14ac:dyDescent="0.3">
      <c r="A20" s="16"/>
      <c r="B20"/>
      <c r="C20"/>
      <c r="D20"/>
      <c r="E20"/>
      <c r="F20"/>
    </row>
    <row r="21" spans="1:6" s="3" customFormat="1" ht="15" customHeight="1" x14ac:dyDescent="0.3">
      <c r="A21" s="16"/>
      <c r="B21"/>
      <c r="C21"/>
      <c r="D21"/>
      <c r="E21"/>
      <c r="F21"/>
    </row>
    <row r="22" spans="1:6" s="3" customFormat="1" ht="15" customHeight="1" x14ac:dyDescent="0.3">
      <c r="A22" s="16"/>
      <c r="B22"/>
    </row>
    <row r="23" spans="1:6" s="3" customFormat="1" ht="15" customHeight="1" x14ac:dyDescent="0.3">
      <c r="A23" s="16"/>
      <c r="B23"/>
    </row>
    <row r="24" spans="1:6" s="3" customFormat="1" ht="15" customHeight="1" x14ac:dyDescent="0.3">
      <c r="A24" s="16"/>
      <c r="B24"/>
    </row>
    <row r="27" spans="1:6" ht="15" customHeight="1" x14ac:dyDescent="0.3">
      <c r="A27" s="16" t="s">
        <v>202</v>
      </c>
    </row>
    <row r="28" spans="1:6" ht="15" customHeight="1" x14ac:dyDescent="0.3">
      <c r="A28" s="16" t="s">
        <v>203</v>
      </c>
    </row>
    <row r="29" spans="1:6" ht="15" customHeight="1" x14ac:dyDescent="0.3">
      <c r="A29" s="16" t="s">
        <v>318</v>
      </c>
    </row>
    <row r="30" spans="1:6" ht="15" customHeight="1" x14ac:dyDescent="0.3">
      <c r="A30" s="16" t="s">
        <v>240</v>
      </c>
    </row>
    <row r="31" spans="1:6" ht="15" customHeight="1" x14ac:dyDescent="0.3">
      <c r="A31" s="16" t="s">
        <v>242</v>
      </c>
      <c r="C31" s="27" t="s">
        <v>57</v>
      </c>
      <c r="D31" s="27" t="s">
        <v>46</v>
      </c>
      <c r="F31" s="44" t="s">
        <v>46</v>
      </c>
    </row>
    <row r="32" spans="1:6" ht="15" customHeight="1" x14ac:dyDescent="0.3">
      <c r="A32" s="16" t="s">
        <v>241</v>
      </c>
      <c r="C32" s="6" t="s">
        <v>2</v>
      </c>
      <c r="D32" s="6"/>
      <c r="F32" s="8" t="s">
        <v>28</v>
      </c>
    </row>
    <row r="33" spans="1:6" ht="15" customHeight="1" x14ac:dyDescent="0.3">
      <c r="A33" s="16" t="s">
        <v>376</v>
      </c>
      <c r="C33" s="6" t="s">
        <v>7</v>
      </c>
      <c r="D33" s="6"/>
      <c r="F33" s="6" t="s">
        <v>6</v>
      </c>
    </row>
    <row r="34" spans="1:6" ht="15" customHeight="1" x14ac:dyDescent="0.3">
      <c r="A34" s="16" t="s">
        <v>319</v>
      </c>
      <c r="C34" s="6" t="s">
        <v>4</v>
      </c>
      <c r="D34" s="6"/>
      <c r="F34" s="8" t="s">
        <v>45</v>
      </c>
    </row>
    <row r="35" spans="1:6" ht="15" customHeight="1" x14ac:dyDescent="0.3">
      <c r="A35" s="16" t="s">
        <v>243</v>
      </c>
      <c r="C35" s="6" t="s">
        <v>5</v>
      </c>
      <c r="D35" s="6"/>
    </row>
    <row r="36" spans="1:6" ht="15" customHeight="1" x14ac:dyDescent="0.3">
      <c r="A36" s="16" t="s">
        <v>244</v>
      </c>
      <c r="C36" s="6" t="s">
        <v>58</v>
      </c>
      <c r="D36" s="6"/>
    </row>
    <row r="37" spans="1:6" ht="15" customHeight="1" x14ac:dyDescent="0.3">
      <c r="A37" s="16" t="s">
        <v>245</v>
      </c>
      <c r="C37" s="6" t="s">
        <v>59</v>
      </c>
      <c r="D37" s="6"/>
    </row>
    <row r="38" spans="1:6" ht="15" customHeight="1" x14ac:dyDescent="0.3">
      <c r="A38" s="16" t="s">
        <v>204</v>
      </c>
      <c r="C38" s="6" t="s">
        <v>60</v>
      </c>
      <c r="D38" s="6"/>
    </row>
    <row r="39" spans="1:6" ht="15" customHeight="1" x14ac:dyDescent="0.3">
      <c r="C39" s="6" t="s">
        <v>12</v>
      </c>
      <c r="D39" s="6"/>
    </row>
    <row r="40" spans="1:6" ht="15" customHeight="1" x14ac:dyDescent="0.3">
      <c r="C40" s="6" t="s">
        <v>8</v>
      </c>
      <c r="D40" s="6"/>
    </row>
    <row r="41" spans="1:6" ht="15" customHeight="1" x14ac:dyDescent="0.3">
      <c r="C41" s="6" t="s">
        <v>14</v>
      </c>
      <c r="D41" s="6"/>
    </row>
    <row r="42" spans="1:6" ht="15" customHeight="1" x14ac:dyDescent="0.3">
      <c r="C42" s="6" t="s">
        <v>15</v>
      </c>
      <c r="D42" s="6"/>
    </row>
    <row r="43" spans="1:6" ht="15" customHeight="1" x14ac:dyDescent="0.3">
      <c r="C43" s="6" t="s">
        <v>16</v>
      </c>
      <c r="D43" s="6"/>
    </row>
    <row r="60" spans="1:1" ht="15" customHeight="1" x14ac:dyDescent="0.3">
      <c r="A60" s="16" t="s">
        <v>111</v>
      </c>
    </row>
    <row r="61" spans="1:1" ht="15" customHeight="1" x14ac:dyDescent="0.3">
      <c r="A61" s="16" t="s">
        <v>205</v>
      </c>
    </row>
    <row r="62" spans="1:1" ht="15" customHeight="1" x14ac:dyDescent="0.3">
      <c r="A62" s="16" t="s">
        <v>206</v>
      </c>
    </row>
    <row r="63" spans="1:1" ht="15" customHeight="1" x14ac:dyDescent="0.3">
      <c r="A63" s="16" t="s">
        <v>110</v>
      </c>
    </row>
  </sheetData>
  <hyperlinks>
    <hyperlink ref="A62" r:id="rId1" tooltip="Select to learn about creating a drop-down list from the web" xr:uid="{00000000-0004-0000-0700-000000000000}"/>
    <hyperlink ref="A61" r:id="rId2" tooltip="Select to learn about applying data validation to cells from the web" xr:uid="{00000000-0004-0000-0700-000001000000}"/>
  </hyperlinks>
  <pageMargins left="0.7" right="0.7" top="0.75" bottom="0.75" header="0.3" footer="0.3"/>
  <pageSetup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13.88671875" customWidth="1"/>
    <col min="4" max="4" width="11" customWidth="1"/>
    <col min="5" max="5" width="10.88671875" customWidth="1"/>
    <col min="6" max="7" width="11.88671875" customWidth="1"/>
  </cols>
  <sheetData>
    <row r="1" spans="1:7" ht="60" customHeight="1" x14ac:dyDescent="0.3">
      <c r="A1" s="16" t="s">
        <v>131</v>
      </c>
    </row>
    <row r="2" spans="1:7" ht="15" customHeight="1" x14ac:dyDescent="0.3">
      <c r="A2" s="16" t="s">
        <v>207</v>
      </c>
    </row>
    <row r="3" spans="1:7" ht="15" customHeight="1" x14ac:dyDescent="0.3">
      <c r="A3" s="16" t="s">
        <v>320</v>
      </c>
    </row>
    <row r="4" spans="1:7" ht="15" customHeight="1" x14ac:dyDescent="0.3">
      <c r="A4" s="16" t="s">
        <v>250</v>
      </c>
    </row>
    <row r="5" spans="1:7" s="3" customFormat="1" ht="15" customHeight="1" x14ac:dyDescent="0.3">
      <c r="A5" s="16" t="s">
        <v>352</v>
      </c>
      <c r="B5"/>
      <c r="C5" t="s">
        <v>46</v>
      </c>
      <c r="D5" t="s">
        <v>26</v>
      </c>
      <c r="E5" t="s">
        <v>47</v>
      </c>
      <c r="F5" t="s">
        <v>48</v>
      </c>
      <c r="G5" t="s">
        <v>49</v>
      </c>
    </row>
    <row r="6" spans="1:7" s="3" customFormat="1" ht="15" customHeight="1" x14ac:dyDescent="0.3">
      <c r="A6" s="16" t="s">
        <v>246</v>
      </c>
      <c r="B6"/>
      <c r="C6" t="s">
        <v>28</v>
      </c>
      <c r="D6" t="s">
        <v>50</v>
      </c>
      <c r="E6" s="36">
        <v>30000</v>
      </c>
      <c r="F6" s="36">
        <v>80000</v>
      </c>
      <c r="G6" s="36">
        <v>30000</v>
      </c>
    </row>
    <row r="7" spans="1:7" s="3" customFormat="1" ht="15" customHeight="1" x14ac:dyDescent="0.3">
      <c r="A7" s="16" t="s">
        <v>247</v>
      </c>
      <c r="B7"/>
      <c r="C7" t="s">
        <v>28</v>
      </c>
      <c r="D7" t="s">
        <v>0</v>
      </c>
      <c r="E7" s="36">
        <v>10000</v>
      </c>
      <c r="F7" s="36">
        <v>30000</v>
      </c>
      <c r="G7" s="36">
        <v>40000</v>
      </c>
    </row>
    <row r="8" spans="1:7" s="3" customFormat="1" ht="15" customHeight="1" x14ac:dyDescent="0.3">
      <c r="A8" s="16" t="s">
        <v>353</v>
      </c>
      <c r="B8"/>
      <c r="C8" t="s">
        <v>45</v>
      </c>
      <c r="D8" t="s">
        <v>51</v>
      </c>
      <c r="E8" s="36">
        <v>30000</v>
      </c>
      <c r="F8" s="36">
        <v>15000</v>
      </c>
      <c r="G8" s="36">
        <v>20000</v>
      </c>
    </row>
    <row r="9" spans="1:7" s="3" customFormat="1" ht="15" customHeight="1" x14ac:dyDescent="0.3">
      <c r="A9" s="16" t="s">
        <v>248</v>
      </c>
      <c r="B9"/>
      <c r="C9" t="s">
        <v>45</v>
      </c>
      <c r="D9" t="s">
        <v>52</v>
      </c>
      <c r="E9" s="36">
        <v>25000</v>
      </c>
      <c r="F9" s="36">
        <v>80000</v>
      </c>
      <c r="G9" s="36">
        <v>120000</v>
      </c>
    </row>
    <row r="10" spans="1:7" s="3" customFormat="1" ht="15" customHeight="1" x14ac:dyDescent="0.3">
      <c r="A10" s="16" t="s">
        <v>116</v>
      </c>
      <c r="B10"/>
      <c r="C10" t="s">
        <v>53</v>
      </c>
      <c r="D10" t="s">
        <v>65</v>
      </c>
      <c r="E10" s="36">
        <v>80000</v>
      </c>
      <c r="F10" s="36">
        <v>40000</v>
      </c>
      <c r="G10" s="36">
        <v>20000</v>
      </c>
    </row>
    <row r="11" spans="1:7" s="3" customFormat="1" ht="15" customHeight="1" x14ac:dyDescent="0.3">
      <c r="A11" s="16"/>
      <c r="B11"/>
      <c r="C11" t="s">
        <v>53</v>
      </c>
      <c r="D11" t="s">
        <v>54</v>
      </c>
      <c r="E11" s="36">
        <v>90000</v>
      </c>
      <c r="F11" s="36">
        <v>35000</v>
      </c>
      <c r="G11" s="36">
        <v>25000</v>
      </c>
    </row>
    <row r="12" spans="1:7" s="3" customFormat="1" ht="15" customHeight="1" x14ac:dyDescent="0.3">
      <c r="A12" s="16"/>
      <c r="B12"/>
      <c r="C12" t="s">
        <v>6</v>
      </c>
      <c r="D12" t="s">
        <v>7</v>
      </c>
      <c r="E12" s="36">
        <v>90000</v>
      </c>
      <c r="F12" s="36">
        <v>110000</v>
      </c>
      <c r="G12" s="36">
        <v>200000</v>
      </c>
    </row>
    <row r="13" spans="1:7" s="3" customFormat="1" ht="15" customHeight="1" x14ac:dyDescent="0.3">
      <c r="A13" s="16"/>
      <c r="B13"/>
      <c r="C13" t="s">
        <v>6</v>
      </c>
      <c r="D13" t="s">
        <v>8</v>
      </c>
      <c r="E13" s="36">
        <v>75000</v>
      </c>
      <c r="F13" s="36">
        <v>82000</v>
      </c>
      <c r="G13" s="36">
        <v>150000</v>
      </c>
    </row>
    <row r="14" spans="1:7" s="3" customFormat="1" ht="15" customHeight="1" x14ac:dyDescent="0.3">
      <c r="A14" s="16"/>
      <c r="B14"/>
      <c r="C14"/>
      <c r="D14"/>
      <c r="E14"/>
      <c r="F14"/>
      <c r="G14"/>
    </row>
    <row r="15" spans="1:7" s="3" customFormat="1" ht="15" customHeight="1" x14ac:dyDescent="0.3">
      <c r="A15" s="16"/>
      <c r="B15"/>
      <c r="C15"/>
      <c r="D15"/>
      <c r="E15"/>
      <c r="F15"/>
      <c r="G15"/>
    </row>
    <row r="16" spans="1:7" s="3" customFormat="1" ht="15" customHeight="1" x14ac:dyDescent="0.3">
      <c r="A16" s="16"/>
      <c r="B16"/>
      <c r="C16"/>
      <c r="D16"/>
      <c r="E16"/>
      <c r="F16"/>
      <c r="G16"/>
    </row>
    <row r="17" spans="1:7" s="3" customFormat="1" ht="15" customHeight="1" x14ac:dyDescent="0.3">
      <c r="A17" s="16"/>
      <c r="B17"/>
      <c r="C17"/>
      <c r="D17"/>
      <c r="E17"/>
      <c r="F17"/>
      <c r="G17"/>
    </row>
    <row r="18" spans="1:7" s="3" customFormat="1" ht="15" customHeight="1" x14ac:dyDescent="0.3">
      <c r="A18" s="16"/>
      <c r="B18"/>
      <c r="C18"/>
      <c r="D18"/>
      <c r="E18"/>
      <c r="F18"/>
      <c r="G18"/>
    </row>
    <row r="19" spans="1:7" s="3" customFormat="1" ht="15" customHeight="1" x14ac:dyDescent="0.3">
      <c r="A19" s="16"/>
      <c r="B19"/>
      <c r="C19"/>
      <c r="D19"/>
      <c r="E19"/>
      <c r="F19"/>
      <c r="G19"/>
    </row>
    <row r="20" spans="1:7" s="3" customFormat="1" ht="15" customHeight="1" x14ac:dyDescent="0.3">
      <c r="A20" s="16"/>
      <c r="B20"/>
      <c r="C20"/>
      <c r="D20"/>
      <c r="E20"/>
      <c r="F20"/>
      <c r="G20"/>
    </row>
    <row r="21" spans="1:7" s="3" customFormat="1" ht="15" customHeight="1" x14ac:dyDescent="0.3">
      <c r="A21" s="16"/>
      <c r="B21"/>
      <c r="C21"/>
      <c r="D21"/>
      <c r="E21"/>
      <c r="F21"/>
      <c r="G21"/>
    </row>
    <row r="22" spans="1:7" s="3" customFormat="1" ht="15" customHeight="1" x14ac:dyDescent="0.3">
      <c r="A22" s="16"/>
      <c r="B22"/>
    </row>
    <row r="23" spans="1:7" s="3" customFormat="1" ht="15" customHeight="1" x14ac:dyDescent="0.3">
      <c r="A23" s="16"/>
      <c r="B23"/>
    </row>
    <row r="24" spans="1:7" s="3" customFormat="1" ht="15" customHeight="1" x14ac:dyDescent="0.3">
      <c r="A24" s="16"/>
      <c r="B24"/>
    </row>
    <row r="27" spans="1:7" ht="15" customHeight="1" x14ac:dyDescent="0.3">
      <c r="A27" s="16" t="s">
        <v>208</v>
      </c>
    </row>
    <row r="28" spans="1:7" ht="15" customHeight="1" x14ac:dyDescent="0.3">
      <c r="A28" s="16" t="s">
        <v>249</v>
      </c>
    </row>
    <row r="29" spans="1:7" ht="15" customHeight="1" x14ac:dyDescent="0.3">
      <c r="A29" s="16" t="s">
        <v>321</v>
      </c>
    </row>
    <row r="30" spans="1:7" ht="15" customHeight="1" x14ac:dyDescent="0.3">
      <c r="A30" s="16" t="s">
        <v>251</v>
      </c>
    </row>
    <row r="31" spans="1:7" ht="15" customHeight="1" x14ac:dyDescent="0.3">
      <c r="A31" s="16" t="s">
        <v>252</v>
      </c>
    </row>
    <row r="32" spans="1:7" ht="15" customHeight="1" x14ac:dyDescent="0.3">
      <c r="A32" s="16" t="s">
        <v>253</v>
      </c>
    </row>
    <row r="33" spans="1:7" ht="15" customHeight="1" x14ac:dyDescent="0.3">
      <c r="A33" s="16" t="s">
        <v>336</v>
      </c>
    </row>
    <row r="34" spans="1:7" ht="15" customHeight="1" x14ac:dyDescent="0.3">
      <c r="A34" s="16" t="s">
        <v>194</v>
      </c>
      <c r="C34" t="s">
        <v>46</v>
      </c>
      <c r="D34" t="s">
        <v>26</v>
      </c>
      <c r="E34" t="s">
        <v>47</v>
      </c>
      <c r="F34" t="s">
        <v>48</v>
      </c>
      <c r="G34" t="s">
        <v>49</v>
      </c>
    </row>
    <row r="35" spans="1:7" ht="15" customHeight="1" x14ac:dyDescent="0.3">
      <c r="C35" t="s">
        <v>45</v>
      </c>
      <c r="D35" t="s">
        <v>51</v>
      </c>
      <c r="E35" s="36">
        <v>30000</v>
      </c>
      <c r="F35" s="36">
        <v>15000</v>
      </c>
      <c r="G35" s="36">
        <v>20000</v>
      </c>
    </row>
    <row r="36" spans="1:7" ht="15" customHeight="1" x14ac:dyDescent="0.3">
      <c r="C36" t="s">
        <v>45</v>
      </c>
      <c r="D36" t="s">
        <v>52</v>
      </c>
      <c r="E36" s="36">
        <v>25000</v>
      </c>
      <c r="F36" s="36">
        <v>80000</v>
      </c>
      <c r="G36" s="36">
        <v>120000</v>
      </c>
    </row>
    <row r="37" spans="1:7" ht="15" customHeight="1" x14ac:dyDescent="0.3">
      <c r="C37" t="s">
        <v>53</v>
      </c>
      <c r="D37" t="s">
        <v>64</v>
      </c>
      <c r="E37" s="36">
        <v>80000</v>
      </c>
      <c r="F37" s="36">
        <v>40000</v>
      </c>
      <c r="G37" s="36">
        <v>20000</v>
      </c>
    </row>
    <row r="38" spans="1:7" ht="15" customHeight="1" x14ac:dyDescent="0.3">
      <c r="C38" t="s">
        <v>53</v>
      </c>
      <c r="D38" t="s">
        <v>54</v>
      </c>
      <c r="E38" s="36">
        <v>90000</v>
      </c>
      <c r="F38" s="36">
        <v>35000</v>
      </c>
      <c r="G38" s="36">
        <v>25000</v>
      </c>
    </row>
    <row r="39" spans="1:7" ht="15" customHeight="1" x14ac:dyDescent="0.3">
      <c r="C39" t="s">
        <v>6</v>
      </c>
      <c r="D39" t="s">
        <v>7</v>
      </c>
      <c r="E39" s="36">
        <v>90000</v>
      </c>
      <c r="F39" s="36">
        <v>110000</v>
      </c>
      <c r="G39" s="36">
        <v>200000</v>
      </c>
    </row>
    <row r="40" spans="1:7" ht="15" customHeight="1" x14ac:dyDescent="0.3">
      <c r="C40" t="s">
        <v>6</v>
      </c>
      <c r="D40" t="s">
        <v>8</v>
      </c>
      <c r="E40" s="36">
        <v>75000</v>
      </c>
      <c r="F40" s="36">
        <v>82000</v>
      </c>
      <c r="G40" s="36">
        <v>150000</v>
      </c>
    </row>
    <row r="41" spans="1:7" ht="15" customHeight="1" x14ac:dyDescent="0.3">
      <c r="C41" t="s">
        <v>28</v>
      </c>
      <c r="D41" t="s">
        <v>50</v>
      </c>
      <c r="E41" s="36">
        <v>30000</v>
      </c>
      <c r="F41" s="36">
        <v>80000</v>
      </c>
      <c r="G41" s="36">
        <v>30000</v>
      </c>
    </row>
    <row r="42" spans="1:7" ht="15" customHeight="1" x14ac:dyDescent="0.3">
      <c r="C42" t="s">
        <v>28</v>
      </c>
      <c r="D42" t="s">
        <v>0</v>
      </c>
      <c r="E42" s="36">
        <v>10000</v>
      </c>
      <c r="F42" s="36">
        <v>30000</v>
      </c>
      <c r="G42" s="36">
        <v>40000</v>
      </c>
    </row>
    <row r="47" spans="1:7" ht="15" customHeight="1" x14ac:dyDescent="0.3">
      <c r="A47" s="16" t="s">
        <v>209</v>
      </c>
    </row>
    <row r="48" spans="1:7" ht="15" customHeight="1" x14ac:dyDescent="0.3">
      <c r="A48" s="16" t="s">
        <v>210</v>
      </c>
    </row>
    <row r="49" spans="1:7" ht="15" customHeight="1" x14ac:dyDescent="0.3">
      <c r="A49" s="16" t="s">
        <v>322</v>
      </c>
    </row>
    <row r="50" spans="1:7" ht="15" customHeight="1" x14ac:dyDescent="0.3">
      <c r="A50" s="16" t="s">
        <v>254</v>
      </c>
    </row>
    <row r="51" spans="1:7" ht="15" customHeight="1" x14ac:dyDescent="0.3">
      <c r="A51" s="16" t="s">
        <v>255</v>
      </c>
    </row>
    <row r="52" spans="1:7" ht="15" customHeight="1" x14ac:dyDescent="0.3">
      <c r="A52" s="16" t="s">
        <v>256</v>
      </c>
    </row>
    <row r="53" spans="1:7" ht="15" customHeight="1" x14ac:dyDescent="0.3">
      <c r="A53" s="16" t="s">
        <v>323</v>
      </c>
    </row>
    <row r="54" spans="1:7" ht="15" customHeight="1" x14ac:dyDescent="0.3">
      <c r="A54" s="16" t="s">
        <v>213</v>
      </c>
      <c r="C54" t="s">
        <v>46</v>
      </c>
      <c r="D54" t="s">
        <v>26</v>
      </c>
      <c r="E54" t="s">
        <v>47</v>
      </c>
      <c r="F54" t="s">
        <v>48</v>
      </c>
      <c r="G54" t="s">
        <v>49</v>
      </c>
    </row>
    <row r="55" spans="1:7" ht="15" customHeight="1" x14ac:dyDescent="0.3">
      <c r="C55" t="s">
        <v>45</v>
      </c>
      <c r="D55" t="s">
        <v>51</v>
      </c>
      <c r="E55" s="36">
        <v>30000</v>
      </c>
      <c r="F55" s="36">
        <v>15000</v>
      </c>
      <c r="G55" s="36">
        <v>20000</v>
      </c>
    </row>
    <row r="56" spans="1:7" ht="15" customHeight="1" x14ac:dyDescent="0.3">
      <c r="C56" t="s">
        <v>45</v>
      </c>
      <c r="D56" t="s">
        <v>52</v>
      </c>
      <c r="E56" s="36">
        <v>25000</v>
      </c>
      <c r="F56" s="36">
        <v>80000</v>
      </c>
      <c r="G56" s="36">
        <v>120000</v>
      </c>
    </row>
    <row r="57" spans="1:7" ht="15" customHeight="1" x14ac:dyDescent="0.3">
      <c r="C57" t="s">
        <v>53</v>
      </c>
      <c r="D57" t="s">
        <v>64</v>
      </c>
      <c r="E57" s="36">
        <v>80000</v>
      </c>
      <c r="F57" s="36">
        <v>40000</v>
      </c>
      <c r="G57" s="36">
        <v>20000</v>
      </c>
    </row>
    <row r="58" spans="1:7" ht="15" customHeight="1" x14ac:dyDescent="0.3">
      <c r="C58" t="s">
        <v>53</v>
      </c>
      <c r="D58" t="s">
        <v>54</v>
      </c>
      <c r="E58" s="36">
        <v>90000</v>
      </c>
      <c r="F58" s="36">
        <v>35000</v>
      </c>
      <c r="G58" s="36">
        <v>25000</v>
      </c>
    </row>
    <row r="59" spans="1:7" ht="15" customHeight="1" x14ac:dyDescent="0.3">
      <c r="C59" t="s">
        <v>6</v>
      </c>
      <c r="D59" t="s">
        <v>7</v>
      </c>
      <c r="E59" s="36">
        <v>90000</v>
      </c>
      <c r="F59" s="36">
        <v>110000</v>
      </c>
      <c r="G59" s="36">
        <v>200000</v>
      </c>
    </row>
    <row r="60" spans="1:7" ht="15" customHeight="1" x14ac:dyDescent="0.3">
      <c r="C60" t="s">
        <v>6</v>
      </c>
      <c r="D60" t="s">
        <v>8</v>
      </c>
      <c r="E60" s="36">
        <v>75000</v>
      </c>
      <c r="F60" s="36">
        <v>82000</v>
      </c>
      <c r="G60" s="36">
        <v>150000</v>
      </c>
    </row>
    <row r="61" spans="1:7" ht="15" customHeight="1" x14ac:dyDescent="0.3">
      <c r="C61" t="s">
        <v>28</v>
      </c>
      <c r="D61" t="s">
        <v>50</v>
      </c>
      <c r="E61" s="36">
        <v>30000</v>
      </c>
      <c r="F61" s="36">
        <v>80000</v>
      </c>
      <c r="G61" s="36">
        <v>30000</v>
      </c>
    </row>
    <row r="62" spans="1:7" ht="15" customHeight="1" x14ac:dyDescent="0.3">
      <c r="C62" t="s">
        <v>28</v>
      </c>
      <c r="D62" t="s">
        <v>0</v>
      </c>
      <c r="E62" s="36">
        <v>10000</v>
      </c>
      <c r="F62" s="36">
        <v>30000</v>
      </c>
      <c r="G62" s="36">
        <v>40000</v>
      </c>
    </row>
    <row r="68" spans="1:1" ht="15" customHeight="1" x14ac:dyDescent="0.3">
      <c r="A68" s="16" t="s">
        <v>111</v>
      </c>
    </row>
    <row r="69" spans="1:1" ht="15" customHeight="1" x14ac:dyDescent="0.3">
      <c r="A69" s="16" t="s">
        <v>211</v>
      </c>
    </row>
    <row r="70" spans="1:1" ht="15" customHeight="1" x14ac:dyDescent="0.3">
      <c r="A70" s="16" t="s">
        <v>212</v>
      </c>
    </row>
    <row r="71" spans="1:1" ht="15" customHeight="1" x14ac:dyDescent="0.3">
      <c r="A71" s="16" t="s">
        <v>110</v>
      </c>
    </row>
  </sheetData>
  <hyperlinks>
    <hyperlink ref="A69" r:id="rId1" tooltip="Select to learn about analyzing your data instantly from the web" xr:uid="{00000000-0004-0000-0800-000000000000}"/>
    <hyperlink ref="A70" r:id="rId2" tooltip="Select to learn about analyzing trends in data using sparklines from the web" xr:uid="{00000000-0004-0000-0800-000001000000}"/>
  </hyperlinks>
  <pageMargins left="0.7" right="0.7" top="0.75" bottom="0.75" header="0.3" footer="0.3"/>
  <pageSetup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3"/>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13.88671875" customWidth="1"/>
    <col min="4" max="4" width="24.44140625" customWidth="1"/>
    <col min="5" max="5" width="23.88671875" customWidth="1"/>
    <col min="6" max="6" width="15.5546875" customWidth="1"/>
  </cols>
  <sheetData>
    <row r="1" spans="1:6" ht="60" customHeight="1" x14ac:dyDescent="0.3">
      <c r="A1" s="16" t="s">
        <v>132</v>
      </c>
    </row>
    <row r="2" spans="1:6" ht="15" customHeight="1" x14ac:dyDescent="0.3">
      <c r="A2" s="16" t="s">
        <v>343</v>
      </c>
    </row>
    <row r="3" spans="1:6" ht="15" customHeight="1" x14ac:dyDescent="0.3">
      <c r="A3" s="16" t="s">
        <v>257</v>
      </c>
    </row>
    <row r="4" spans="1:6" ht="15" customHeight="1" x14ac:dyDescent="0.3">
      <c r="A4" s="16" t="s">
        <v>344</v>
      </c>
    </row>
    <row r="5" spans="1:6" s="3" customFormat="1" ht="15" customHeight="1" x14ac:dyDescent="0.3">
      <c r="A5" s="16" t="s">
        <v>324</v>
      </c>
      <c r="B5"/>
      <c r="C5" t="s">
        <v>82</v>
      </c>
      <c r="D5" t="s">
        <v>83</v>
      </c>
      <c r="E5"/>
      <c r="F5"/>
    </row>
    <row r="6" spans="1:6" s="3" customFormat="1" ht="15" customHeight="1" x14ac:dyDescent="0.3">
      <c r="A6" s="16" t="s">
        <v>361</v>
      </c>
      <c r="B6"/>
      <c r="C6">
        <f ca="1">YEAR(TODAY())-5</f>
        <v>2018</v>
      </c>
      <c r="D6">
        <v>500</v>
      </c>
      <c r="E6"/>
      <c r="F6"/>
    </row>
    <row r="7" spans="1:6" s="3" customFormat="1" ht="15" customHeight="1" x14ac:dyDescent="0.3">
      <c r="A7" s="16" t="s">
        <v>345</v>
      </c>
      <c r="B7"/>
      <c r="C7">
        <f ca="1">YEAR(TODAY())-4</f>
        <v>2019</v>
      </c>
      <c r="D7">
        <v>800</v>
      </c>
      <c r="E7"/>
      <c r="F7"/>
    </row>
    <row r="8" spans="1:6" s="3" customFormat="1" ht="15" customHeight="1" x14ac:dyDescent="0.3">
      <c r="A8" s="16" t="s">
        <v>258</v>
      </c>
      <c r="B8"/>
      <c r="C8">
        <f ca="1">YEAR(TODAY())-3</f>
        <v>2020</v>
      </c>
      <c r="D8">
        <v>1000</v>
      </c>
      <c r="E8"/>
      <c r="F8"/>
    </row>
    <row r="9" spans="1:6" s="3" customFormat="1" ht="15" customHeight="1" x14ac:dyDescent="0.3">
      <c r="A9" s="48" t="s">
        <v>337</v>
      </c>
      <c r="B9"/>
      <c r="C9">
        <f ca="1">YEAR(TODAY())-2</f>
        <v>2021</v>
      </c>
      <c r="D9">
        <v>900</v>
      </c>
      <c r="E9"/>
      <c r="F9"/>
    </row>
    <row r="10" spans="1:6" s="3" customFormat="1" ht="15" customHeight="1" x14ac:dyDescent="0.3">
      <c r="A10" s="16" t="s">
        <v>116</v>
      </c>
      <c r="B10"/>
      <c r="C10">
        <f ca="1">YEAR(TODAY())-1</f>
        <v>2022</v>
      </c>
      <c r="D10">
        <v>1000</v>
      </c>
      <c r="E10"/>
      <c r="F10"/>
    </row>
    <row r="11" spans="1:6" s="3" customFormat="1" ht="15" customHeight="1" x14ac:dyDescent="0.3">
      <c r="A11" s="16"/>
      <c r="B11"/>
      <c r="C11">
        <f ca="1">YEAR(TODAY())</f>
        <v>2023</v>
      </c>
      <c r="D11">
        <v>1200</v>
      </c>
      <c r="E11"/>
      <c r="F11"/>
    </row>
    <row r="12" spans="1:6" s="3" customFormat="1" ht="15" customHeight="1" x14ac:dyDescent="0.3">
      <c r="A12" s="16"/>
      <c r="B12"/>
      <c r="C12"/>
      <c r="D12"/>
      <c r="E12"/>
      <c r="F12"/>
    </row>
    <row r="13" spans="1:6" s="3" customFormat="1" ht="15" customHeight="1" x14ac:dyDescent="0.3">
      <c r="A13" s="16"/>
      <c r="B13"/>
      <c r="C13"/>
      <c r="D13"/>
      <c r="E13"/>
      <c r="F13"/>
    </row>
    <row r="14" spans="1:6" s="3" customFormat="1" ht="15" customHeight="1" x14ac:dyDescent="0.3">
      <c r="A14" s="16"/>
      <c r="B14"/>
      <c r="C14"/>
      <c r="D14"/>
      <c r="E14"/>
      <c r="F14"/>
    </row>
    <row r="15" spans="1:6" s="3" customFormat="1" ht="15" customHeight="1" x14ac:dyDescent="0.3">
      <c r="A15" s="16"/>
      <c r="B15"/>
      <c r="C15"/>
      <c r="D15"/>
      <c r="E15"/>
      <c r="F15"/>
    </row>
    <row r="16" spans="1:6" s="3" customFormat="1" ht="15" customHeight="1" x14ac:dyDescent="0.3">
      <c r="A16" s="16"/>
      <c r="B16"/>
      <c r="C16"/>
      <c r="D16"/>
      <c r="E16"/>
      <c r="F16"/>
    </row>
    <row r="17" spans="1:6" s="3" customFormat="1" ht="15" customHeight="1" x14ac:dyDescent="0.3">
      <c r="A17" s="16"/>
      <c r="B17"/>
      <c r="C17"/>
      <c r="D17"/>
      <c r="E17"/>
      <c r="F17"/>
    </row>
    <row r="18" spans="1:6" s="3" customFormat="1" ht="15" customHeight="1" x14ac:dyDescent="0.3">
      <c r="A18" s="16"/>
      <c r="B18"/>
      <c r="C18"/>
      <c r="D18"/>
      <c r="E18"/>
      <c r="F18"/>
    </row>
    <row r="19" spans="1:6" s="3" customFormat="1" ht="15" customHeight="1" x14ac:dyDescent="0.3">
      <c r="A19" s="16"/>
      <c r="B19"/>
      <c r="C19"/>
      <c r="D19"/>
      <c r="E19"/>
      <c r="F19"/>
    </row>
    <row r="20" spans="1:6" s="3" customFormat="1" ht="15" customHeight="1" x14ac:dyDescent="0.3">
      <c r="A20" s="16"/>
      <c r="B20"/>
      <c r="C20"/>
      <c r="D20"/>
      <c r="E20"/>
      <c r="F20"/>
    </row>
    <row r="21" spans="1:6" s="3" customFormat="1" ht="15" customHeight="1" x14ac:dyDescent="0.3">
      <c r="A21" s="16"/>
      <c r="B21"/>
      <c r="C21"/>
      <c r="D21"/>
      <c r="E21"/>
      <c r="F21"/>
    </row>
    <row r="22" spans="1:6" s="3" customFormat="1" ht="15" customHeight="1" x14ac:dyDescent="0.3">
      <c r="A22" s="16"/>
      <c r="B22"/>
    </row>
    <row r="23" spans="1:6" s="3" customFormat="1" ht="15" customHeight="1" x14ac:dyDescent="0.3">
      <c r="A23" s="16"/>
      <c r="B23"/>
    </row>
    <row r="24" spans="1:6" s="3" customFormat="1" ht="15" customHeight="1" x14ac:dyDescent="0.3">
      <c r="A24" s="16"/>
      <c r="B24"/>
    </row>
    <row r="27" spans="1:6" ht="15" customHeight="1" x14ac:dyDescent="0.3">
      <c r="A27" s="16" t="s">
        <v>214</v>
      </c>
    </row>
    <row r="28" spans="1:6" ht="15" customHeight="1" x14ac:dyDescent="0.3">
      <c r="A28" s="16" t="s">
        <v>215</v>
      </c>
    </row>
    <row r="29" spans="1:6" ht="15" customHeight="1" x14ac:dyDescent="0.3">
      <c r="A29" s="16" t="s">
        <v>216</v>
      </c>
    </row>
    <row r="30" spans="1:6" ht="15" customHeight="1" x14ac:dyDescent="0.3">
      <c r="A30" s="16" t="s">
        <v>224</v>
      </c>
    </row>
    <row r="31" spans="1:6" ht="15" customHeight="1" x14ac:dyDescent="0.3">
      <c r="A31" s="16" t="s">
        <v>225</v>
      </c>
    </row>
    <row r="32" spans="1:6" ht="15" customHeight="1" x14ac:dyDescent="0.3">
      <c r="A32" s="16" t="s">
        <v>217</v>
      </c>
    </row>
    <row r="33" spans="1:1" ht="15" customHeight="1" x14ac:dyDescent="0.3">
      <c r="A33" s="16" t="s">
        <v>349</v>
      </c>
    </row>
    <row r="34" spans="1:1" ht="15" customHeight="1" x14ac:dyDescent="0.3">
      <c r="A34" s="16" t="s">
        <v>362</v>
      </c>
    </row>
    <row r="35" spans="1:1" ht="15" customHeight="1" x14ac:dyDescent="0.3">
      <c r="A35" s="16" t="s">
        <v>218</v>
      </c>
    </row>
    <row r="52" spans="1:1" ht="15" customHeight="1" x14ac:dyDescent="0.3">
      <c r="A52" s="16" t="s">
        <v>219</v>
      </c>
    </row>
    <row r="53" spans="1:1" ht="15" customHeight="1" x14ac:dyDescent="0.3">
      <c r="A53" s="16" t="s">
        <v>223</v>
      </c>
    </row>
    <row r="54" spans="1:1" ht="15" customHeight="1" x14ac:dyDescent="0.3">
      <c r="A54" s="16" t="s">
        <v>259</v>
      </c>
    </row>
    <row r="55" spans="1:1" ht="15" customHeight="1" x14ac:dyDescent="0.3">
      <c r="A55" s="16" t="s">
        <v>325</v>
      </c>
    </row>
    <row r="56" spans="1:1" ht="15" customHeight="1" x14ac:dyDescent="0.3">
      <c r="A56" s="48" t="s">
        <v>355</v>
      </c>
    </row>
    <row r="57" spans="1:1" ht="15" customHeight="1" x14ac:dyDescent="0.3">
      <c r="A57" s="16" t="s">
        <v>213</v>
      </c>
    </row>
    <row r="67" spans="1:6" ht="15" customHeight="1" x14ac:dyDescent="0.3">
      <c r="D67" s="9" t="s">
        <v>76</v>
      </c>
      <c r="E67" s="9" t="s">
        <v>83</v>
      </c>
      <c r="F67" s="9" t="s">
        <v>84</v>
      </c>
    </row>
    <row r="68" spans="1:6" ht="15" customHeight="1" x14ac:dyDescent="0.3">
      <c r="A68" s="16" t="s">
        <v>111</v>
      </c>
      <c r="D68">
        <f ca="1">YEAR(TODAY())-5</f>
        <v>2018</v>
      </c>
      <c r="E68" s="5">
        <v>500</v>
      </c>
      <c r="F68" s="38">
        <v>5000</v>
      </c>
    </row>
    <row r="69" spans="1:6" ht="15" customHeight="1" x14ac:dyDescent="0.3">
      <c r="A69" s="16" t="s">
        <v>220</v>
      </c>
      <c r="D69">
        <f ca="1">YEAR(TODAY())-4</f>
        <v>2019</v>
      </c>
      <c r="E69">
        <v>800</v>
      </c>
      <c r="F69" s="37">
        <v>11200</v>
      </c>
    </row>
    <row r="70" spans="1:6" ht="15" customHeight="1" x14ac:dyDescent="0.3">
      <c r="A70" s="16" t="s">
        <v>221</v>
      </c>
      <c r="D70">
        <f ca="1">YEAR(TODAY())-3</f>
        <v>2020</v>
      </c>
      <c r="E70" s="5">
        <v>1000</v>
      </c>
      <c r="F70" s="38">
        <v>30000</v>
      </c>
    </row>
    <row r="71" spans="1:6" ht="15" customHeight="1" x14ac:dyDescent="0.3">
      <c r="A71" s="16" t="s">
        <v>222</v>
      </c>
      <c r="D71">
        <f ca="1">YEAR(TODAY())-2</f>
        <v>2021</v>
      </c>
      <c r="E71">
        <v>900</v>
      </c>
      <c r="F71" s="37">
        <v>25000</v>
      </c>
    </row>
    <row r="72" spans="1:6" ht="15" customHeight="1" x14ac:dyDescent="0.3">
      <c r="A72" s="16" t="s">
        <v>110</v>
      </c>
      <c r="D72">
        <f ca="1">YEAR(TODAY())-1</f>
        <v>2022</v>
      </c>
      <c r="E72" s="5">
        <v>1000</v>
      </c>
      <c r="F72" s="38">
        <v>5000</v>
      </c>
    </row>
    <row r="73" spans="1:6" ht="15" customHeight="1" x14ac:dyDescent="0.3">
      <c r="D73">
        <f ca="1">YEAR(TODAY())</f>
        <v>2023</v>
      </c>
      <c r="E73">
        <v>1200</v>
      </c>
      <c r="F73" s="37">
        <v>8000</v>
      </c>
    </row>
  </sheetData>
  <hyperlinks>
    <hyperlink ref="A71" r:id="rId1" tooltip="Select to learn about Available chart types in Office from the web" xr:uid="{00000000-0004-0000-0900-000000000000}"/>
    <hyperlink ref="A70" r:id="rId2" tooltip="Select to learn about creating a combo chart with a secondary axis from the web" xr:uid="{00000000-0004-0000-0900-000001000000}"/>
    <hyperlink ref="A69" r:id="rId3" tooltip="Select to learn about creating a chart from start to finish from the web" xr:uid="{00000000-0004-0000-0900-000002000000}"/>
  </hyperlinks>
  <pageMargins left="0.7" right="0.7" top="0.75" bottom="0.75" header="0.3" footer="0.3"/>
  <pageSetup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F61"/>
  <sheetViews>
    <sheetView showGridLines="0" zoomScaleNormal="100" zoomScalePageLayoutView="125" workbookViewId="0"/>
  </sheetViews>
  <sheetFormatPr baseColWidth="10" defaultColWidth="8.88671875" defaultRowHeight="15" customHeight="1" x14ac:dyDescent="0.3"/>
  <cols>
    <col min="1" max="1" width="12.6640625" style="16" customWidth="1"/>
    <col min="2" max="2" width="82.88671875" customWidth="1"/>
    <col min="3" max="3" width="12.44140625" customWidth="1"/>
    <col min="4" max="4" width="14" customWidth="1"/>
    <col min="5" max="5" width="20.109375" bestFit="1" customWidth="1"/>
    <col min="6" max="6" width="13.5546875" bestFit="1" customWidth="1"/>
  </cols>
  <sheetData>
    <row r="1" spans="1:6" ht="60" customHeight="1" x14ac:dyDescent="0.3">
      <c r="A1" s="16" t="s">
        <v>133</v>
      </c>
    </row>
    <row r="2" spans="1:6" ht="15" customHeight="1" x14ac:dyDescent="0.3">
      <c r="A2" s="16" t="s">
        <v>326</v>
      </c>
    </row>
    <row r="3" spans="1:6" ht="15" customHeight="1" x14ac:dyDescent="0.3">
      <c r="A3" s="16" t="s">
        <v>260</v>
      </c>
      <c r="C3" t="s">
        <v>76</v>
      </c>
      <c r="D3" t="s">
        <v>77</v>
      </c>
      <c r="E3" t="s">
        <v>27</v>
      </c>
      <c r="F3" t="s">
        <v>1</v>
      </c>
    </row>
    <row r="4" spans="1:6" ht="15" customHeight="1" x14ac:dyDescent="0.3">
      <c r="A4" s="16" t="s">
        <v>226</v>
      </c>
      <c r="C4" s="41">
        <f ca="1">TODAY()-57</f>
        <v>45118</v>
      </c>
      <c r="D4" t="s">
        <v>78</v>
      </c>
      <c r="E4" t="s">
        <v>79</v>
      </c>
      <c r="F4" s="39">
        <v>1400</v>
      </c>
    </row>
    <row r="5" spans="1:6" s="3" customFormat="1" ht="15" customHeight="1" x14ac:dyDescent="0.3">
      <c r="A5" s="16" t="s">
        <v>371</v>
      </c>
      <c r="B5"/>
      <c r="C5" s="41">
        <f ca="1">TODAY()-52</f>
        <v>45123</v>
      </c>
      <c r="D5" t="s">
        <v>71</v>
      </c>
      <c r="E5" t="s">
        <v>80</v>
      </c>
      <c r="F5" s="39">
        <v>1010</v>
      </c>
    </row>
    <row r="6" spans="1:6" s="3" customFormat="1" ht="15" customHeight="1" x14ac:dyDescent="0.3">
      <c r="A6" s="16" t="s">
        <v>372</v>
      </c>
      <c r="B6"/>
      <c r="C6" s="41">
        <f ca="1">TODAY()-35</f>
        <v>45140</v>
      </c>
      <c r="D6" t="s">
        <v>78</v>
      </c>
      <c r="E6" t="s">
        <v>79</v>
      </c>
      <c r="F6" s="39">
        <v>750</v>
      </c>
    </row>
    <row r="7" spans="1:6" s="3" customFormat="1" ht="15" customHeight="1" x14ac:dyDescent="0.3">
      <c r="A7" s="16" t="s">
        <v>374</v>
      </c>
      <c r="B7"/>
      <c r="C7" s="41">
        <f ca="1">TODAY()-31</f>
        <v>45144</v>
      </c>
      <c r="D7" t="s">
        <v>71</v>
      </c>
      <c r="E7" t="s">
        <v>81</v>
      </c>
      <c r="F7" s="39">
        <v>510</v>
      </c>
    </row>
    <row r="8" spans="1:6" s="3" customFormat="1" ht="15" customHeight="1" x14ac:dyDescent="0.3">
      <c r="A8" s="16" t="s">
        <v>116</v>
      </c>
      <c r="B8"/>
      <c r="C8" s="41">
        <f ca="1">TODAY()-11</f>
        <v>45164</v>
      </c>
      <c r="D8" t="s">
        <v>66</v>
      </c>
      <c r="E8" t="s">
        <v>81</v>
      </c>
      <c r="F8" s="39">
        <v>1600</v>
      </c>
    </row>
    <row r="9" spans="1:6" s="3" customFormat="1" ht="15" customHeight="1" x14ac:dyDescent="0.3">
      <c r="A9" s="16"/>
      <c r="B9"/>
      <c r="C9" s="41">
        <f ca="1">TODAY()</f>
        <v>45175</v>
      </c>
      <c r="D9" t="s">
        <v>74</v>
      </c>
      <c r="E9" t="s">
        <v>80</v>
      </c>
      <c r="F9" s="39">
        <v>680</v>
      </c>
    </row>
    <row r="10" spans="1:6" s="3" customFormat="1" ht="15" customHeight="1" x14ac:dyDescent="0.3">
      <c r="A10" s="16"/>
      <c r="B10"/>
      <c r="C10"/>
      <c r="D10"/>
      <c r="E10"/>
      <c r="F10"/>
    </row>
    <row r="11" spans="1:6" s="3" customFormat="1" ht="15" customHeight="1" x14ac:dyDescent="0.3">
      <c r="A11" s="16"/>
      <c r="B11"/>
      <c r="E11" s="12" t="s">
        <v>377</v>
      </c>
      <c r="F11" t="s">
        <v>85</v>
      </c>
    </row>
    <row r="12" spans="1:6" s="3" customFormat="1" ht="15" customHeight="1" x14ac:dyDescent="0.3">
      <c r="A12" s="16"/>
      <c r="B12"/>
      <c r="E12" s="3" t="s">
        <v>79</v>
      </c>
      <c r="F12" s="40">
        <v>2150</v>
      </c>
    </row>
    <row r="13" spans="1:6" s="3" customFormat="1" ht="15" customHeight="1" x14ac:dyDescent="0.3">
      <c r="A13" s="16"/>
      <c r="B13"/>
      <c r="E13" s="3" t="s">
        <v>81</v>
      </c>
      <c r="F13" s="40">
        <v>2110</v>
      </c>
    </row>
    <row r="14" spans="1:6" s="3" customFormat="1" ht="15" customHeight="1" x14ac:dyDescent="0.3">
      <c r="A14" s="16"/>
      <c r="B14"/>
      <c r="E14" s="3" t="s">
        <v>80</v>
      </c>
      <c r="F14" s="40">
        <v>1690</v>
      </c>
    </row>
    <row r="15" spans="1:6" s="3" customFormat="1" ht="15" customHeight="1" x14ac:dyDescent="0.3">
      <c r="A15" s="16"/>
      <c r="B15"/>
      <c r="E15" s="3" t="s">
        <v>378</v>
      </c>
      <c r="F15" s="40">
        <v>5950</v>
      </c>
    </row>
    <row r="16" spans="1:6" s="3" customFormat="1" ht="15" customHeight="1" x14ac:dyDescent="0.3">
      <c r="A16" s="16"/>
      <c r="B16"/>
      <c r="C16"/>
      <c r="D16"/>
      <c r="E16"/>
      <c r="F16"/>
    </row>
    <row r="17" spans="1:6" s="3" customFormat="1" ht="15" customHeight="1" x14ac:dyDescent="0.3">
      <c r="A17" s="16"/>
      <c r="B17"/>
      <c r="C17"/>
      <c r="D17"/>
      <c r="E17"/>
      <c r="F17"/>
    </row>
    <row r="18" spans="1:6" s="3" customFormat="1" ht="15" customHeight="1" x14ac:dyDescent="0.3">
      <c r="A18" s="16"/>
      <c r="B18"/>
      <c r="C18"/>
      <c r="D18"/>
      <c r="E18"/>
      <c r="F18"/>
    </row>
    <row r="19" spans="1:6" s="3" customFormat="1" ht="15" customHeight="1" x14ac:dyDescent="0.3">
      <c r="A19" s="16"/>
      <c r="B19"/>
      <c r="C19"/>
      <c r="D19"/>
      <c r="E19"/>
      <c r="F19"/>
    </row>
    <row r="20" spans="1:6" s="3" customFormat="1" ht="15" customHeight="1" x14ac:dyDescent="0.3">
      <c r="A20" s="16"/>
      <c r="B20"/>
      <c r="C20"/>
      <c r="D20"/>
      <c r="E20"/>
      <c r="F20"/>
    </row>
    <row r="21" spans="1:6" s="3" customFormat="1" ht="15" customHeight="1" x14ac:dyDescent="0.3">
      <c r="A21" s="16"/>
      <c r="B21"/>
      <c r="C21"/>
      <c r="D21"/>
      <c r="E21" t="s">
        <v>373</v>
      </c>
      <c r="F21"/>
    </row>
    <row r="22" spans="1:6" s="3" customFormat="1" ht="15" customHeight="1" x14ac:dyDescent="0.3">
      <c r="A22" s="16"/>
      <c r="B22"/>
      <c r="C22"/>
      <c r="D22"/>
      <c r="E22"/>
    </row>
    <row r="23" spans="1:6" s="3" customFormat="1" ht="15" customHeight="1" x14ac:dyDescent="0.3">
      <c r="A23" s="16"/>
      <c r="B23"/>
      <c r="C23"/>
      <c r="D23"/>
      <c r="E23"/>
    </row>
    <row r="24" spans="1:6" s="3" customFormat="1" ht="15" customHeight="1" x14ac:dyDescent="0.3">
      <c r="A24" s="16"/>
      <c r="B24"/>
      <c r="C24"/>
      <c r="D24"/>
      <c r="E24"/>
    </row>
    <row r="27" spans="1:6" ht="15" customHeight="1" x14ac:dyDescent="0.3">
      <c r="A27" s="16" t="s">
        <v>227</v>
      </c>
    </row>
    <row r="28" spans="1:6" ht="15" customHeight="1" x14ac:dyDescent="0.3">
      <c r="A28" s="16" t="s">
        <v>228</v>
      </c>
    </row>
    <row r="29" spans="1:6" ht="15" customHeight="1" x14ac:dyDescent="0.3">
      <c r="A29" s="16" t="s">
        <v>327</v>
      </c>
    </row>
    <row r="30" spans="1:6" ht="15" customHeight="1" x14ac:dyDescent="0.3">
      <c r="A30" s="16" t="s">
        <v>354</v>
      </c>
    </row>
    <row r="31" spans="1:6" ht="15" customHeight="1" x14ac:dyDescent="0.3">
      <c r="A31" s="16" t="s">
        <v>338</v>
      </c>
    </row>
    <row r="32" spans="1:6" ht="15" customHeight="1" x14ac:dyDescent="0.3">
      <c r="A32" s="16" t="s">
        <v>356</v>
      </c>
    </row>
    <row r="33" spans="1:6" ht="15" customHeight="1" x14ac:dyDescent="0.3">
      <c r="A33" s="48" t="s">
        <v>357</v>
      </c>
    </row>
    <row r="34" spans="1:6" ht="15" customHeight="1" x14ac:dyDescent="0.3">
      <c r="A34" s="48" t="s">
        <v>358</v>
      </c>
      <c r="C34" t="s">
        <v>76</v>
      </c>
      <c r="D34" t="s">
        <v>77</v>
      </c>
      <c r="E34" t="s">
        <v>27</v>
      </c>
      <c r="F34" t="s">
        <v>1</v>
      </c>
    </row>
    <row r="35" spans="1:6" ht="15" customHeight="1" x14ac:dyDescent="0.3">
      <c r="A35" s="16" t="s">
        <v>359</v>
      </c>
      <c r="C35" s="41">
        <f ca="1">TODAY()-57</f>
        <v>45118</v>
      </c>
      <c r="D35" t="s">
        <v>78</v>
      </c>
      <c r="E35" t="s">
        <v>79</v>
      </c>
      <c r="F35" s="39">
        <v>1400</v>
      </c>
    </row>
    <row r="36" spans="1:6" ht="15" customHeight="1" x14ac:dyDescent="0.3">
      <c r="A36" s="16" t="s">
        <v>229</v>
      </c>
      <c r="C36" s="41">
        <f ca="1">TODAY()-52</f>
        <v>45123</v>
      </c>
      <c r="D36" t="s">
        <v>71</v>
      </c>
      <c r="E36" t="s">
        <v>80</v>
      </c>
      <c r="F36" s="39">
        <v>1010</v>
      </c>
    </row>
    <row r="37" spans="1:6" ht="15" customHeight="1" x14ac:dyDescent="0.3">
      <c r="C37" s="41">
        <f ca="1">TODAY()-35</f>
        <v>45140</v>
      </c>
      <c r="D37" t="s">
        <v>78</v>
      </c>
      <c r="E37" t="s">
        <v>79</v>
      </c>
      <c r="F37" s="39">
        <v>750</v>
      </c>
    </row>
    <row r="38" spans="1:6" ht="15" customHeight="1" x14ac:dyDescent="0.3">
      <c r="C38" s="41">
        <f ca="1">TODAY()-31</f>
        <v>45144</v>
      </c>
      <c r="D38" t="s">
        <v>71</v>
      </c>
      <c r="E38" t="s">
        <v>81</v>
      </c>
      <c r="F38" s="39">
        <v>510</v>
      </c>
    </row>
    <row r="39" spans="1:6" ht="15" customHeight="1" x14ac:dyDescent="0.3">
      <c r="C39" s="41">
        <f ca="1">TODAY()-11</f>
        <v>45164</v>
      </c>
      <c r="D39" t="s">
        <v>66</v>
      </c>
      <c r="E39" t="s">
        <v>81</v>
      </c>
      <c r="F39" s="39">
        <v>1600</v>
      </c>
    </row>
    <row r="40" spans="1:6" ht="15" customHeight="1" x14ac:dyDescent="0.3">
      <c r="C40" s="41">
        <f ca="1">TODAY()</f>
        <v>45175</v>
      </c>
      <c r="D40" t="s">
        <v>74</v>
      </c>
      <c r="E40" t="s">
        <v>80</v>
      </c>
      <c r="F40" s="39">
        <v>680</v>
      </c>
    </row>
    <row r="58" spans="1:1" ht="15" customHeight="1" x14ac:dyDescent="0.3">
      <c r="A58" s="16" t="s">
        <v>111</v>
      </c>
    </row>
    <row r="59" spans="1:1" ht="15" customHeight="1" x14ac:dyDescent="0.3">
      <c r="A59" s="16" t="s">
        <v>230</v>
      </c>
    </row>
    <row r="60" spans="1:1" ht="15" customHeight="1" x14ac:dyDescent="0.3">
      <c r="A60" s="16" t="s">
        <v>231</v>
      </c>
    </row>
    <row r="61" spans="1:1" ht="15" customHeight="1" x14ac:dyDescent="0.3">
      <c r="A61" s="16" t="s">
        <v>110</v>
      </c>
    </row>
  </sheetData>
  <hyperlinks>
    <hyperlink ref="A60" r:id="rId2" tooltip="Select to learn about using the Field List to arrange fields in a PivotTable from the web" xr:uid="{00000000-0004-0000-0A00-000000000000}"/>
    <hyperlink ref="A59" r:id="rId3" tooltip="Select to learn creating a PivotTable to analyze worksheet data from the web" xr:uid="{00000000-0004-0000-0A00-000001000000}"/>
  </hyperlinks>
  <pageMargins left="0.7" right="0.7" top="0.75" bottom="0.75" header="0.3" footer="0.3"/>
  <pageSetup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7"/>
  <sheetViews>
    <sheetView showGridLines="0" zoomScaleNormal="100" workbookViewId="0"/>
  </sheetViews>
  <sheetFormatPr baseColWidth="10" defaultColWidth="8.88671875" defaultRowHeight="15" customHeight="1" x14ac:dyDescent="0.3"/>
  <cols>
    <col min="1" max="1" width="8.88671875" style="16"/>
    <col min="2" max="2" width="95.109375" customWidth="1"/>
  </cols>
  <sheetData>
    <row r="1" spans="1:2" ht="60" customHeight="1" x14ac:dyDescent="0.3">
      <c r="A1" s="16" t="s">
        <v>119</v>
      </c>
    </row>
    <row r="2" spans="1:2" s="13" customFormat="1" ht="15" customHeight="1" x14ac:dyDescent="0.45">
      <c r="A2" s="16" t="s">
        <v>261</v>
      </c>
      <c r="B2"/>
    </row>
    <row r="3" spans="1:2" s="13" customFormat="1" ht="15" customHeight="1" x14ac:dyDescent="0.45">
      <c r="A3" s="16" t="s">
        <v>329</v>
      </c>
      <c r="B3"/>
    </row>
    <row r="4" spans="1:2" s="14" customFormat="1" ht="15" customHeight="1" x14ac:dyDescent="0.75">
      <c r="A4" s="16" t="s">
        <v>347</v>
      </c>
      <c r="B4"/>
    </row>
    <row r="5" spans="1:2" s="15" customFormat="1" ht="15" customHeight="1" x14ac:dyDescent="0.3">
      <c r="A5" s="16" t="s">
        <v>348</v>
      </c>
      <c r="B5"/>
    </row>
    <row r="6" spans="1:2" s="15" customFormat="1" ht="15" customHeight="1" x14ac:dyDescent="0.3">
      <c r="A6" s="48" t="s">
        <v>350</v>
      </c>
      <c r="B6"/>
    </row>
    <row r="7" spans="1:2" ht="15" customHeight="1" x14ac:dyDescent="0.3">
      <c r="A7"/>
    </row>
  </sheetData>
  <hyperlinks>
    <hyperlink ref="A4" r:id="rId1" tooltip="Select to learn more about LinkedIn Learning" display="http://go.microsoft.com/fwlink/?LinkId=846285" xr:uid="{00000000-0004-0000-0B00-000000000000}"/>
    <hyperlink ref="A5" r:id="rId2" tooltip="Select to learn more about Community" display="http://go.microsoft.com/fwlink/?LinkId=844969" xr:uid="{00000000-0004-0000-0B00-000001000000}"/>
    <hyperlink ref="A6" r:id="rId3" tooltip="Select to learn more about what else is new" display="http://go.microsoft.com/fwlink/?LinkId=846286" xr:uid="{00000000-0004-0000-0B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1" ma:contentTypeDescription="Create a new document." ma:contentTypeScope="" ma:versionID="64dfb1555687e0874b4304b796b5b0c7">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6e4c555b5e194d05b7203de9c4567b3"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42BD9D9-5391-4370-B039-343825009DD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9E8AB08A-59C1-444E-AE1E-1DBAE428CFBC}">
  <ds:schemaRefs>
    <ds:schemaRef ds:uri="http://schemas.microsoft.com/sharepoint/v3/contenttype/forms"/>
  </ds:schemaRefs>
</ds:datastoreItem>
</file>

<file path=customXml/itemProps3.xml><?xml version="1.0" encoding="utf-8"?>
<ds:datastoreItem xmlns:ds="http://schemas.openxmlformats.org/officeDocument/2006/customXml" ds:itemID="{4315E79D-C406-42D4-908D-28C047A7AC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TM10000137</Template>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11</vt:i4>
      </vt:variant>
    </vt:vector>
  </HeadingPairs>
  <TitlesOfParts>
    <vt:vector size="23" baseType="lpstr">
      <vt:lpstr>Start</vt:lpstr>
      <vt:lpstr>1. Add</vt:lpstr>
      <vt:lpstr>2. Fill</vt:lpstr>
      <vt:lpstr>3. Split</vt:lpstr>
      <vt:lpstr>4. Transpose</vt:lpstr>
      <vt:lpstr>5. Sort &amp; filter</vt:lpstr>
      <vt:lpstr>6. Tables</vt:lpstr>
      <vt:lpstr>7. Drop-downs</vt:lpstr>
      <vt:lpstr>8. Analyze</vt:lpstr>
      <vt:lpstr>9. Charts</vt:lpstr>
      <vt:lpstr>10. PivotTables</vt:lpstr>
      <vt:lpstr>Learn more</vt:lpstr>
      <vt:lpstr>ExtraCredit</vt:lpstr>
      <vt:lpstr>Fruit</vt:lpstr>
      <vt:lpstr>Items</vt:lpstr>
      <vt:lpstr>Meat</vt:lpstr>
      <vt:lpstr>MoreFruit</vt:lpstr>
      <vt:lpstr>MoreItem</vt:lpstr>
      <vt:lpstr>MoreItems</vt:lpstr>
      <vt:lpstr>SUMExtraCredit</vt:lpstr>
      <vt:lpstr>SUMIF</vt:lpstr>
      <vt:lpstr>SUMIFExtraCredit</vt:lpstr>
      <vt:lpstr>Total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2023-09-06T07:51:05Z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