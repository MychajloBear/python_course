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onaldBrim\Desktop\Modul Excel\"/>
    </mc:Choice>
  </mc:AlternateContent>
  <xr:revisionPtr revIDLastSave="0" documentId="13_ncr:1_{F0216CDE-261E-4200-BDF0-2858C2D43D28}" xr6:coauthVersionLast="47" xr6:coauthVersionMax="47" xr10:uidLastSave="{00000000-0000-0000-0000-000000000000}"/>
  <bookViews>
    <workbookView xWindow="-23148" yWindow="-108" windowWidth="23256" windowHeight="12456" xr2:uid="{EBD925DB-D0F5-4037-AC06-5451597AABC6}"/>
  </bookViews>
  <sheets>
    <sheet name="SVERWEIS – SLOOKUP" sheetId="1" r:id="rId1"/>
    <sheet name="XVERWEIS – XLOOKUP" sheetId="3" r:id="rId2"/>
    <sheet name="Lookup Tabellen" sheetId="2" r:id="rId3"/>
    <sheet name="Array - SummenProdukt" sheetId="4" r:id="rId4"/>
  </sheets>
  <definedNames>
    <definedName name="_xlnm._FilterDatabase" localSheetId="2" hidden="1">'Lookup Tabellen'!$F$2:$H$17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M10" i="1" l="1"/>
  <c r="I4" i="4"/>
  <c r="G4" i="3"/>
  <c r="G5" i="3"/>
  <c r="G6" i="3"/>
  <c r="G7" i="3"/>
  <c r="G8" i="3"/>
  <c r="G9" i="3"/>
  <c r="G10" i="3"/>
  <c r="G11" i="3"/>
  <c r="G12" i="3"/>
  <c r="G13" i="3"/>
  <c r="G3" i="3"/>
  <c r="F4" i="3"/>
  <c r="F5" i="3"/>
  <c r="F6" i="3"/>
  <c r="F7" i="3"/>
  <c r="F8" i="3"/>
  <c r="F9" i="3"/>
  <c r="F10" i="3"/>
  <c r="F11" i="3"/>
  <c r="F12" i="3"/>
  <c r="F13" i="3"/>
  <c r="F3" i="3"/>
  <c r="E4" i="3"/>
  <c r="E5" i="3"/>
  <c r="E6" i="3"/>
  <c r="E7" i="3"/>
  <c r="E8" i="3"/>
  <c r="E9" i="3"/>
  <c r="E10" i="3"/>
  <c r="E11" i="3"/>
  <c r="E12" i="3"/>
  <c r="E13" i="3"/>
  <c r="E3" i="3"/>
  <c r="D3" i="3"/>
  <c r="D4" i="3"/>
  <c r="D5" i="3"/>
  <c r="D6" i="3"/>
  <c r="D7" i="3"/>
  <c r="D8" i="3"/>
  <c r="D9" i="3"/>
  <c r="D10" i="3"/>
  <c r="D11" i="3"/>
  <c r="D12" i="3"/>
  <c r="D13" i="3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3" i="1"/>
  <c r="M18" i="1"/>
  <c r="M11" i="1"/>
  <c r="M6" i="1"/>
  <c r="M5" i="1"/>
  <c r="M4" i="1"/>
  <c r="M3" i="1"/>
</calcChain>
</file>

<file path=xl/sharedStrings.xml><?xml version="1.0" encoding="utf-8"?>
<sst xmlns="http://schemas.openxmlformats.org/spreadsheetml/2006/main" count="270" uniqueCount="100">
  <si>
    <t>Spaltenindex --&gt;</t>
  </si>
  <si>
    <t>Pers.-Nr.</t>
  </si>
  <si>
    <t>Vorname</t>
  </si>
  <si>
    <t>Nachname</t>
  </si>
  <si>
    <t>Email</t>
  </si>
  <si>
    <t>Abteilung</t>
  </si>
  <si>
    <t>Anstellung</t>
  </si>
  <si>
    <t>Umsatz</t>
  </si>
  <si>
    <t>Bonus</t>
  </si>
  <si>
    <t>Tabelle A:</t>
  </si>
  <si>
    <t>Fritz</t>
  </si>
  <si>
    <t>Weller</t>
  </si>
  <si>
    <t>Produktion</t>
  </si>
  <si>
    <t>Freelancer</t>
  </si>
  <si>
    <t>Mijo</t>
  </si>
  <si>
    <t>Dussen van</t>
  </si>
  <si>
    <t>Marketing</t>
  </si>
  <si>
    <t>Teilzeit</t>
  </si>
  <si>
    <t>Schüler</t>
  </si>
  <si>
    <t>Finanzen</t>
  </si>
  <si>
    <t>Dominik</t>
  </si>
  <si>
    <t>Wilms</t>
  </si>
  <si>
    <t>IT</t>
  </si>
  <si>
    <t>Name</t>
  </si>
  <si>
    <t>Katherina</t>
  </si>
  <si>
    <t>Albers</t>
  </si>
  <si>
    <t>Thomas</t>
  </si>
  <si>
    <t>Biggen</t>
  </si>
  <si>
    <t>Vertrieb</t>
  </si>
  <si>
    <t>Vollzeit</t>
  </si>
  <si>
    <t>Hakan</t>
  </si>
  <si>
    <t>Özgür</t>
  </si>
  <si>
    <t>Personal</t>
  </si>
  <si>
    <t>Tabelle B:</t>
  </si>
  <si>
    <t>Sylvana</t>
  </si>
  <si>
    <t>Lachmann</t>
  </si>
  <si>
    <t>James</t>
  </si>
  <si>
    <t>Kranz</t>
  </si>
  <si>
    <t>Markus</t>
  </si>
  <si>
    <t>Nette</t>
  </si>
  <si>
    <t>Vlado</t>
  </si>
  <si>
    <t>Blümel</t>
  </si>
  <si>
    <t>Marten</t>
  </si>
  <si>
    <t>Faust</t>
  </si>
  <si>
    <t>Frieda</t>
  </si>
  <si>
    <t>Käster</t>
  </si>
  <si>
    <t>Jana</t>
  </si>
  <si>
    <t>Reising</t>
  </si>
  <si>
    <t>Ingo</t>
  </si>
  <si>
    <t>Kroker</t>
  </si>
  <si>
    <t>Tabelle C:</t>
  </si>
  <si>
    <t>Lioba</t>
  </si>
  <si>
    <t>Rudolph</t>
  </si>
  <si>
    <t>Imelda</t>
  </si>
  <si>
    <t>Hörle</t>
  </si>
  <si>
    <t>Viktoria</t>
  </si>
  <si>
    <t>Barkholz</t>
  </si>
  <si>
    <t>Nelli</t>
  </si>
  <si>
    <t>Geißler</t>
  </si>
  <si>
    <t>Anatolij</t>
  </si>
  <si>
    <t>Hoffmann</t>
  </si>
  <si>
    <t>Standort</t>
  </si>
  <si>
    <t>Beschäftigte</t>
  </si>
  <si>
    <t>Beschäftigte aktuell</t>
  </si>
  <si>
    <t>Stufe</t>
  </si>
  <si>
    <t>Stuttgart</t>
  </si>
  <si>
    <t>Hamburg</t>
  </si>
  <si>
    <t>München</t>
  </si>
  <si>
    <t>Berlin</t>
  </si>
  <si>
    <t>Mannheim</t>
  </si>
  <si>
    <t>Nürnberg</t>
  </si>
  <si>
    <t>Rom</t>
  </si>
  <si>
    <t>Madrid</t>
  </si>
  <si>
    <t>Paris</t>
  </si>
  <si>
    <t>London</t>
  </si>
  <si>
    <t>Porto</t>
  </si>
  <si>
    <t>Umsatz/Jahr</t>
  </si>
  <si>
    <t>Datum</t>
  </si>
  <si>
    <r>
      <t>(ab /</t>
    </r>
    <r>
      <rPr>
        <sz val="11"/>
        <color theme="4" tint="-0.249977111117893"/>
        <rFont val="Aptos Narrow"/>
        <family val="2"/>
        <scheme val="minor"/>
      </rPr>
      <t xml:space="preserve"> from</t>
    </r>
    <r>
      <rPr>
        <sz val="11"/>
        <color theme="1"/>
        <rFont val="Aptos Narrow"/>
        <family val="2"/>
        <scheme val="minor"/>
      </rPr>
      <t>)</t>
    </r>
  </si>
  <si>
    <t>Unterschied Beschäftigte</t>
  </si>
  <si>
    <t>fritz.weller@DSI.de</t>
  </si>
  <si>
    <t>mijo.dussen van@DSI.de</t>
  </si>
  <si>
    <t>mijo.schueler@DSI.de</t>
  </si>
  <si>
    <t>dominik.wilms@DSI.de</t>
  </si>
  <si>
    <t>katherina.albers@DSI.de</t>
  </si>
  <si>
    <t>thomas.biggen@DSI.de</t>
  </si>
  <si>
    <t>hakan.özgür@DSI.de</t>
  </si>
  <si>
    <t>sylvana.lachmann@DSI.de</t>
  </si>
  <si>
    <t>james.kranz@DSI.de</t>
  </si>
  <si>
    <t>markus.nette@DSI.de</t>
  </si>
  <si>
    <t>vlado.bluemel@DSI.de</t>
  </si>
  <si>
    <t>marten.faust@DSI.de</t>
  </si>
  <si>
    <t>frieda.kaester@DSI.de</t>
  </si>
  <si>
    <t>jana.reising@DSI.de</t>
  </si>
  <si>
    <t>ingo.kroker@DSI.de</t>
  </si>
  <si>
    <t>lioba.rudolph@DSI.de</t>
  </si>
  <si>
    <t>imelda.hoerle@DSI.de</t>
  </si>
  <si>
    <t>viktoria.barkholz@DSI.de</t>
  </si>
  <si>
    <t>nelli.geissler@DSI.de</t>
  </si>
  <si>
    <t>anatolij.hoffmann@DSI.de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</si>
</sst>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.00\ &quot;€&quot;"/>
    <numFmt numFmtId="165" formatCode="0.0%"/>
    <numFmt numFmtId="166" formatCode="#,##0\ &quot;€&quot;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3">
    <border>
      <left/>
      <right/>
      <top/>
      <bottom/>
      <diagonal/>
    </border>
    <border>
      <left style="thin">
        <color theme="3" tint="0.249977111117893"/>
      </left>
      <right/>
      <top style="thin">
        <color theme="3" tint="0.249977111117893"/>
      </top>
      <bottom/>
      <diagonal/>
    </border>
    <border>
      <left/>
      <right/>
      <top style="thin">
        <color theme="3" tint="0.249977111117893"/>
      </top>
      <bottom/>
      <diagonal/>
    </border>
    <border>
      <left/>
      <right style="thin">
        <color theme="3" tint="0.249977111117893"/>
      </right>
      <top style="thin">
        <color theme="3" tint="0.249977111117893"/>
      </top>
      <bottom/>
      <diagonal/>
    </border>
    <border>
      <left style="thin">
        <color theme="3" tint="0.249977111117893"/>
      </left>
      <right/>
      <top/>
      <bottom/>
      <diagonal/>
    </border>
    <border>
      <left/>
      <right style="thin">
        <color theme="3" tint="0.249977111117893"/>
      </right>
      <top/>
      <bottom/>
      <diagonal/>
    </border>
    <border>
      <left style="thin">
        <color theme="3" tint="0.249977111117893"/>
      </left>
      <right/>
      <top/>
      <bottom style="thin">
        <color theme="3" tint="0.249977111117893"/>
      </bottom>
      <diagonal/>
    </border>
    <border>
      <left/>
      <right/>
      <top/>
      <bottom style="thin">
        <color theme="3" tint="0.249977111117893"/>
      </bottom>
      <diagonal/>
    </border>
    <border>
      <left/>
      <right style="thin">
        <color theme="3" tint="0.249977111117893"/>
      </right>
      <top/>
      <bottom style="thin">
        <color theme="3" tint="0.249977111117893"/>
      </bottom>
      <diagonal/>
    </border>
    <border>
      <left style="thin">
        <color theme="3" tint="0.249977111117893"/>
      </left>
      <right/>
      <top style="thin">
        <color theme="3" tint="0.249977111117893"/>
      </top>
      <bottom style="thin">
        <color theme="3" tint="0.249977111117893"/>
      </bottom>
      <diagonal/>
    </border>
    <border>
      <left/>
      <right/>
      <top style="thin">
        <color theme="3" tint="0.249977111117893"/>
      </top>
      <bottom style="thin">
        <color theme="3" tint="0.249977111117893"/>
      </bottom>
      <diagonal/>
    </border>
    <border>
      <left/>
      <right style="thin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0" fillId="0" borderId="5" xfId="1" applyNumberFormat="1" applyFont="1" applyBorder="1"/>
    <xf numFmtId="165" fontId="0" fillId="0" borderId="8" xfId="1" applyNumberFormat="1" applyFont="1" applyBorder="1"/>
    <xf numFmtId="0" fontId="0" fillId="0" borderId="0" xfId="0" applyAlignment="1">
      <alignment horizontal="center"/>
    </xf>
    <xf numFmtId="0" fontId="0" fillId="0" borderId="0" xfId="0" quotePrefix="1"/>
    <xf numFmtId="166" fontId="0" fillId="0" borderId="0" xfId="0" applyNumberFormat="1"/>
    <xf numFmtId="165" fontId="0" fillId="0" borderId="5" xfId="0" applyNumberFormat="1" applyBorder="1"/>
    <xf numFmtId="166" fontId="0" fillId="0" borderId="7" xfId="0" applyNumberFormat="1" applyBorder="1"/>
    <xf numFmtId="165" fontId="0" fillId="0" borderId="8" xfId="0" applyNumberFormat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164" fontId="0" fillId="0" borderId="0" xfId="0" applyNumberFormat="1"/>
    <xf numFmtId="14" fontId="0" fillId="0" borderId="4" xfId="0" applyNumberFormat="1" applyBorder="1"/>
    <xf numFmtId="14" fontId="0" fillId="0" borderId="6" xfId="0" applyNumberFormat="1" applyBorder="1"/>
    <xf numFmtId="166" fontId="0" fillId="0" borderId="11" xfId="0" applyNumberFormat="1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14" fontId="0" fillId="0" borderId="0" xfId="0" applyNumberFormat="1"/>
    <xf numFmtId="164" fontId="0" fillId="0" borderId="7" xfId="0" applyNumberFormat="1" applyBorder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2" xfId="0" applyFont="1" applyFill="1" applyBorder="1"/>
    <xf numFmtId="0" fontId="0" fillId="0" borderId="12" xfId="0" applyBorder="1" applyAlignment="1">
      <alignment horizontal="left"/>
    </xf>
    <xf numFmtId="0" fontId="0" fillId="0" borderId="12" xfId="0" applyBorder="1"/>
    <xf numFmtId="164" fontId="0" fillId="0" borderId="12" xfId="0" applyNumberFormat="1" applyBorder="1"/>
    <xf numFmtId="0" fontId="0" fillId="0" borderId="0" xfId="0" applyBorder="1"/>
    <xf numFmtId="44" fontId="0" fillId="0" borderId="0" xfId="2" applyFont="1"/>
  </cellXfs>
  <cellStyles count="3">
    <cellStyle name="Prozent" xfId="1" builtinId="5"/>
    <cellStyle name="Standard" xfId="0" builtinId="0"/>
    <cellStyle name="Währung" xfId="2" builtinId="4"/>
  </cellStyles>
  <dxfs count="31">
    <dxf>
      <fill>
        <patternFill>
          <bgColor rgb="FFFF0000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</xdr:colOff>
      <xdr:row>1</xdr:row>
      <xdr:rowOff>0</xdr:rowOff>
    </xdr:from>
    <xdr:to>
      <xdr:col>13</xdr:col>
      <xdr:colOff>335281</xdr:colOff>
      <xdr:row>20</xdr:row>
      <xdr:rowOff>147600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555EB3D-A03B-83F9-EE10-163172912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4321" y="182880"/>
          <a:ext cx="4259580" cy="3622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C03E-F3D4-40F2-84A3-948BF0437941}">
  <dimension ref="A1:M25"/>
  <sheetViews>
    <sheetView tabSelected="1" zoomScale="115" zoomScaleNormal="115" workbookViewId="0">
      <selection activeCell="M3" sqref="M3"/>
    </sheetView>
  </sheetViews>
  <sheetFormatPr baseColWidth="10" defaultColWidth="11.44140625" defaultRowHeight="14.4" x14ac:dyDescent="0.3"/>
  <cols>
    <col min="1" max="1" width="16.6640625" customWidth="1"/>
    <col min="2" max="2" width="12.88671875" bestFit="1" customWidth="1"/>
    <col min="3" max="3" width="9.109375" bestFit="1" customWidth="1"/>
    <col min="4" max="4" width="10.5546875" bestFit="1" customWidth="1"/>
    <col min="5" max="5" width="27.5546875" bestFit="1" customWidth="1"/>
    <col min="6" max="6" width="10.109375" bestFit="1" customWidth="1"/>
    <col min="7" max="7" width="9.88671875" bestFit="1" customWidth="1"/>
    <col min="8" max="8" width="12.109375" customWidth="1"/>
    <col min="10" max="10" width="5.109375" customWidth="1"/>
    <col min="12" max="12" width="11.109375" customWidth="1"/>
    <col min="13" max="13" width="24.33203125" customWidth="1"/>
  </cols>
  <sheetData>
    <row r="1" spans="1:13" s="30" customFormat="1" x14ac:dyDescent="0.3">
      <c r="A1" s="29" t="s">
        <v>0</v>
      </c>
      <c r="B1" s="29">
        <v>1</v>
      </c>
      <c r="C1" s="29">
        <v>2</v>
      </c>
      <c r="D1" s="29">
        <v>3</v>
      </c>
      <c r="E1" s="29">
        <v>4</v>
      </c>
      <c r="F1" s="29">
        <v>5</v>
      </c>
      <c r="G1" s="29">
        <v>6</v>
      </c>
      <c r="H1" s="29"/>
    </row>
    <row r="2" spans="1:13" x14ac:dyDescent="0.3">
      <c r="B2" s="17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9" t="s">
        <v>8</v>
      </c>
      <c r="K2" s="28" t="s">
        <v>9</v>
      </c>
      <c r="L2" s="31" t="s">
        <v>1</v>
      </c>
      <c r="M2" s="25">
        <v>5493</v>
      </c>
    </row>
    <row r="3" spans="1:13" x14ac:dyDescent="0.3">
      <c r="A3">
        <v>1</v>
      </c>
      <c r="B3" s="24">
        <v>3902</v>
      </c>
      <c r="C3" t="s">
        <v>10</v>
      </c>
      <c r="D3" t="s">
        <v>11</v>
      </c>
      <c r="E3" s="12" t="s">
        <v>80</v>
      </c>
      <c r="F3" t="s">
        <v>12</v>
      </c>
      <c r="G3" t="s">
        <v>13</v>
      </c>
      <c r="H3" s="13">
        <v>354788</v>
      </c>
      <c r="I3" s="14">
        <f>_xlfn.XLOOKUP(H3,'Lookup Tabellen'!$C$3:$C$9,'Lookup Tabellen'!$D$3:$D$9,"nicht Gefunden",-1)</f>
        <v>7.4999999999999997E-2</v>
      </c>
      <c r="L3" s="33" t="s">
        <v>4</v>
      </c>
      <c r="M3" s="33" t="str">
        <f>VLOOKUP($M$2,$B$2:$I$22,4,FALSE)</f>
        <v>frieda.kaester@DSI.de</v>
      </c>
    </row>
    <row r="4" spans="1:13" x14ac:dyDescent="0.3">
      <c r="A4">
        <v>2</v>
      </c>
      <c r="B4" s="24">
        <v>1880</v>
      </c>
      <c r="C4" t="s">
        <v>14</v>
      </c>
      <c r="D4" t="s">
        <v>15</v>
      </c>
      <c r="E4" t="s">
        <v>81</v>
      </c>
      <c r="F4" t="s">
        <v>16</v>
      </c>
      <c r="G4" t="s">
        <v>17</v>
      </c>
      <c r="H4" s="13">
        <v>188074</v>
      </c>
      <c r="I4" s="14">
        <f>_xlfn.XLOOKUP(H4,'Lookup Tabellen'!$C$3:$C$9,'Lookup Tabellen'!$D$3:$D$9,"nicht Gefunden",-1)</f>
        <v>0.05</v>
      </c>
      <c r="L4" s="33" t="s">
        <v>5</v>
      </c>
      <c r="M4" s="33" t="str">
        <f>VLOOKUP($M$2,$B$2:$I$22,5,FALSE)</f>
        <v>IT</v>
      </c>
    </row>
    <row r="5" spans="1:13" x14ac:dyDescent="0.3">
      <c r="A5">
        <v>3</v>
      </c>
      <c r="B5" s="24">
        <v>9077</v>
      </c>
      <c r="C5" t="s">
        <v>14</v>
      </c>
      <c r="D5" t="s">
        <v>18</v>
      </c>
      <c r="E5" t="s">
        <v>82</v>
      </c>
      <c r="F5" t="s">
        <v>19</v>
      </c>
      <c r="G5" t="s">
        <v>17</v>
      </c>
      <c r="H5" s="13">
        <v>897473</v>
      </c>
      <c r="I5" s="14">
        <f>_xlfn.XLOOKUP(H5,'Lookup Tabellen'!$C$3:$C$9,'Lookup Tabellen'!$D$3:$D$9,"nicht Gefunden",-1)</f>
        <v>0.1</v>
      </c>
      <c r="L5" s="33" t="s">
        <v>6</v>
      </c>
      <c r="M5" s="33" t="str">
        <f>VLOOKUP($M$2,$B$2:$I$22,6,FALSE)</f>
        <v>Freelancer</v>
      </c>
    </row>
    <row r="6" spans="1:13" x14ac:dyDescent="0.3">
      <c r="A6">
        <v>4</v>
      </c>
      <c r="B6" s="24">
        <v>6888</v>
      </c>
      <c r="C6" t="s">
        <v>20</v>
      </c>
      <c r="D6" t="s">
        <v>21</v>
      </c>
      <c r="E6" t="s">
        <v>83</v>
      </c>
      <c r="F6" t="s">
        <v>22</v>
      </c>
      <c r="G6" t="s">
        <v>13</v>
      </c>
      <c r="H6" s="13">
        <v>1228477</v>
      </c>
      <c r="I6" s="14">
        <f>_xlfn.XLOOKUP(H6,'Lookup Tabellen'!$C$3:$C$9,'Lookup Tabellen'!$D$3:$D$9,"nicht Gefunden",-1)</f>
        <v>0.15</v>
      </c>
      <c r="L6" s="33" t="s">
        <v>23</v>
      </c>
      <c r="M6" s="33" t="str">
        <f xml:space="preserve">
VLOOKUP($M$2,$B$2:$I$22,2,FALSE)
&amp;
" "
&amp;
VLOOKUP($M$2,$B$2:$I$22,3,FALSE)</f>
        <v>Frieda Käster</v>
      </c>
    </row>
    <row r="7" spans="1:13" x14ac:dyDescent="0.3">
      <c r="A7">
        <v>5</v>
      </c>
      <c r="B7" s="24">
        <v>8170</v>
      </c>
      <c r="C7" t="s">
        <v>24</v>
      </c>
      <c r="D7" t="s">
        <v>25</v>
      </c>
      <c r="E7" t="s">
        <v>84</v>
      </c>
      <c r="F7" t="s">
        <v>19</v>
      </c>
      <c r="G7" t="s">
        <v>13</v>
      </c>
      <c r="H7" s="13">
        <v>424371</v>
      </c>
      <c r="I7" s="14">
        <f>_xlfn.XLOOKUP(H7,'Lookup Tabellen'!$C$3:$C$9,'Lookup Tabellen'!$D$3:$D$9,"nicht Gefunden",-1)</f>
        <v>7.4999999999999997E-2</v>
      </c>
    </row>
    <row r="8" spans="1:13" x14ac:dyDescent="0.3">
      <c r="A8">
        <v>6</v>
      </c>
      <c r="B8" s="24">
        <v>7133</v>
      </c>
      <c r="C8" t="s">
        <v>26</v>
      </c>
      <c r="D8" t="s">
        <v>27</v>
      </c>
      <c r="E8" t="s">
        <v>85</v>
      </c>
      <c r="F8" t="s">
        <v>28</v>
      </c>
      <c r="G8" t="s">
        <v>29</v>
      </c>
      <c r="H8" s="13">
        <v>901880</v>
      </c>
      <c r="I8" s="14">
        <f>_xlfn.XLOOKUP(H8,'Lookup Tabellen'!$C$3:$C$9,'Lookup Tabellen'!$D$3:$D$9,"nicht Gefunden",-1)</f>
        <v>0.1</v>
      </c>
    </row>
    <row r="9" spans="1:13" x14ac:dyDescent="0.3">
      <c r="A9">
        <v>7</v>
      </c>
      <c r="B9" s="24">
        <v>1506</v>
      </c>
      <c r="C9" t="s">
        <v>30</v>
      </c>
      <c r="D9" t="s">
        <v>31</v>
      </c>
      <c r="E9" t="s">
        <v>86</v>
      </c>
      <c r="F9" t="s">
        <v>32</v>
      </c>
      <c r="G9" t="s">
        <v>29</v>
      </c>
      <c r="H9" s="13">
        <v>279020</v>
      </c>
      <c r="I9" s="14">
        <f>_xlfn.XLOOKUP(H9,'Lookup Tabellen'!$C$3:$C$9,'Lookup Tabellen'!$D$3:$D$9,"nicht Gefunden",-1)</f>
        <v>7.4999999999999997E-2</v>
      </c>
      <c r="K9" s="28" t="s">
        <v>33</v>
      </c>
      <c r="L9" s="31" t="s">
        <v>3</v>
      </c>
      <c r="M9" s="33" t="s">
        <v>60</v>
      </c>
    </row>
    <row r="10" spans="1:13" x14ac:dyDescent="0.3">
      <c r="A10">
        <v>8</v>
      </c>
      <c r="B10" s="24">
        <v>9749</v>
      </c>
      <c r="C10" t="s">
        <v>34</v>
      </c>
      <c r="D10" t="s">
        <v>35</v>
      </c>
      <c r="E10" t="s">
        <v>87</v>
      </c>
      <c r="F10" t="s">
        <v>32</v>
      </c>
      <c r="G10" t="s">
        <v>13</v>
      </c>
      <c r="H10" s="13">
        <v>854886</v>
      </c>
      <c r="I10" s="14">
        <f>_xlfn.XLOOKUP(H10,'Lookup Tabellen'!$C$3:$C$9,'Lookup Tabellen'!$D$3:$D$9,"nicht Gefunden",-1)</f>
        <v>0.1</v>
      </c>
      <c r="L10" s="33" t="s">
        <v>5</v>
      </c>
      <c r="M10" s="32" t="str">
        <f>_xlfn.XLOOKUP($M$9,$D$2:$D$22,$F$2:$F$22)</f>
        <v>Vertrieb</v>
      </c>
    </row>
    <row r="11" spans="1:13" x14ac:dyDescent="0.3">
      <c r="A11">
        <v>9</v>
      </c>
      <c r="B11" s="24">
        <v>7741</v>
      </c>
      <c r="C11" t="s">
        <v>36</v>
      </c>
      <c r="D11" t="s">
        <v>37</v>
      </c>
      <c r="E11" t="s">
        <v>88</v>
      </c>
      <c r="F11" t="s">
        <v>19</v>
      </c>
      <c r="G11" t="s">
        <v>29</v>
      </c>
      <c r="H11" s="13">
        <v>91683</v>
      </c>
      <c r="I11" s="14">
        <f>_xlfn.XLOOKUP(H11,'Lookup Tabellen'!$C$3:$C$9,'Lookup Tabellen'!$D$3:$D$9,"nicht Gefunden",-1)</f>
        <v>2.5000000000000001E-2</v>
      </c>
      <c r="L11" s="33" t="s">
        <v>1</v>
      </c>
      <c r="M11" s="32">
        <f>_xlfn.XLOOKUP($M$9,$D$2:$D$22,$B$2:$B$22)</f>
        <v>8398</v>
      </c>
    </row>
    <row r="12" spans="1:13" x14ac:dyDescent="0.3">
      <c r="A12">
        <v>10</v>
      </c>
      <c r="B12" s="24">
        <v>9512</v>
      </c>
      <c r="C12" t="s">
        <v>38</v>
      </c>
      <c r="D12" t="s">
        <v>39</v>
      </c>
      <c r="E12" t="s">
        <v>89</v>
      </c>
      <c r="F12" t="s">
        <v>28</v>
      </c>
      <c r="G12" t="s">
        <v>29</v>
      </c>
      <c r="H12" s="13">
        <v>934650</v>
      </c>
      <c r="I12" s="14">
        <f>_xlfn.XLOOKUP(H12,'Lookup Tabellen'!$C$3:$C$9,'Lookup Tabellen'!$D$3:$D$9,"nicht Gefunden",-1)</f>
        <v>0.1</v>
      </c>
    </row>
    <row r="13" spans="1:13" x14ac:dyDescent="0.3">
      <c r="A13">
        <v>11</v>
      </c>
      <c r="B13" s="24">
        <v>7081</v>
      </c>
      <c r="C13" t="s">
        <v>40</v>
      </c>
      <c r="D13" t="s">
        <v>41</v>
      </c>
      <c r="E13" t="s">
        <v>90</v>
      </c>
      <c r="F13" t="s">
        <v>28</v>
      </c>
      <c r="G13" t="s">
        <v>13</v>
      </c>
      <c r="H13" s="13">
        <v>8677</v>
      </c>
      <c r="I13" s="14">
        <f>_xlfn.XLOOKUP(H13,'Lookup Tabellen'!$C$3:$C$9,'Lookup Tabellen'!$D$3:$D$9,"nicht Gefunden",-1)</f>
        <v>0</v>
      </c>
    </row>
    <row r="14" spans="1:13" x14ac:dyDescent="0.3">
      <c r="A14">
        <v>12</v>
      </c>
      <c r="B14" s="24">
        <v>1247</v>
      </c>
      <c r="C14" t="s">
        <v>42</v>
      </c>
      <c r="D14" t="s">
        <v>43</v>
      </c>
      <c r="E14" t="s">
        <v>91</v>
      </c>
      <c r="F14" t="s">
        <v>32</v>
      </c>
      <c r="G14" t="s">
        <v>17</v>
      </c>
      <c r="H14" s="13">
        <v>13568</v>
      </c>
      <c r="I14" s="14">
        <f>_xlfn.XLOOKUP(H14,'Lookup Tabellen'!$C$3:$C$9,'Lookup Tabellen'!$D$3:$D$9,"nicht Gefunden",-1)</f>
        <v>0.01</v>
      </c>
    </row>
    <row r="15" spans="1:13" x14ac:dyDescent="0.3">
      <c r="A15">
        <v>13</v>
      </c>
      <c r="B15" s="24">
        <v>5493</v>
      </c>
      <c r="C15" t="s">
        <v>44</v>
      </c>
      <c r="D15" t="s">
        <v>45</v>
      </c>
      <c r="E15" t="s">
        <v>92</v>
      </c>
      <c r="F15" t="s">
        <v>22</v>
      </c>
      <c r="G15" t="s">
        <v>13</v>
      </c>
      <c r="H15" s="13">
        <v>790574</v>
      </c>
      <c r="I15" s="14">
        <f>_xlfn.XLOOKUP(H15,'Lookup Tabellen'!$C$3:$C$9,'Lookup Tabellen'!$D$3:$D$9,"nicht Gefunden",-1)</f>
        <v>0.1</v>
      </c>
    </row>
    <row r="16" spans="1:13" x14ac:dyDescent="0.3">
      <c r="A16">
        <v>14</v>
      </c>
      <c r="B16" s="24">
        <v>6690</v>
      </c>
      <c r="C16" t="s">
        <v>46</v>
      </c>
      <c r="D16" t="s">
        <v>47</v>
      </c>
      <c r="E16" t="s">
        <v>93</v>
      </c>
      <c r="F16" t="s">
        <v>28</v>
      </c>
      <c r="G16" t="s">
        <v>13</v>
      </c>
      <c r="H16" s="13">
        <v>407280</v>
      </c>
      <c r="I16" s="14">
        <f>_xlfn.XLOOKUP(H16,'Lookup Tabellen'!$C$3:$C$9,'Lookup Tabellen'!$D$3:$D$9,"nicht Gefunden",-1)</f>
        <v>7.4999999999999997E-2</v>
      </c>
    </row>
    <row r="17" spans="1:13" x14ac:dyDescent="0.3">
      <c r="A17">
        <v>15</v>
      </c>
      <c r="B17" s="24">
        <v>9942</v>
      </c>
      <c r="C17" t="s">
        <v>48</v>
      </c>
      <c r="D17" t="s">
        <v>49</v>
      </c>
      <c r="E17" t="s">
        <v>94</v>
      </c>
      <c r="F17" t="s">
        <v>22</v>
      </c>
      <c r="G17" t="s">
        <v>29</v>
      </c>
      <c r="H17" s="13">
        <v>1002266</v>
      </c>
      <c r="I17" s="14">
        <f>_xlfn.XLOOKUP(H17,'Lookup Tabellen'!$C$3:$C$9,'Lookup Tabellen'!$D$3:$D$9,"nicht Gefunden",-1)</f>
        <v>0.15</v>
      </c>
      <c r="K17" s="28" t="s">
        <v>50</v>
      </c>
      <c r="L17" s="17" t="s">
        <v>7</v>
      </c>
      <c r="M17" s="23">
        <v>100000</v>
      </c>
    </row>
    <row r="18" spans="1:13" x14ac:dyDescent="0.3">
      <c r="A18">
        <v>16</v>
      </c>
      <c r="B18" s="24">
        <v>8736</v>
      </c>
      <c r="C18" t="s">
        <v>51</v>
      </c>
      <c r="D18" t="s">
        <v>52</v>
      </c>
      <c r="E18" t="s">
        <v>95</v>
      </c>
      <c r="F18" t="s">
        <v>12</v>
      </c>
      <c r="G18" t="s">
        <v>17</v>
      </c>
      <c r="H18" s="13">
        <v>195971</v>
      </c>
      <c r="I18" s="14">
        <f>_xlfn.XLOOKUP(H18,'Lookup Tabellen'!$C$3:$C$9,'Lookup Tabellen'!$D$3:$D$9,"nicht Gefunden",-1)</f>
        <v>0.05</v>
      </c>
      <c r="L18" s="6" t="s">
        <v>8</v>
      </c>
      <c r="M18" s="16">
        <f>_xlfn.XLOOKUP($M$17,'Lookup Tabellen'!$C$3:$C$9,'Lookup Tabellen'!$D$3:$D$9,0,-1)</f>
        <v>0.05</v>
      </c>
    </row>
    <row r="19" spans="1:13" x14ac:dyDescent="0.3">
      <c r="A19">
        <v>17</v>
      </c>
      <c r="B19" s="24">
        <v>7036</v>
      </c>
      <c r="C19" t="s">
        <v>53</v>
      </c>
      <c r="D19" t="s">
        <v>54</v>
      </c>
      <c r="E19" t="s">
        <v>96</v>
      </c>
      <c r="F19" t="s">
        <v>19</v>
      </c>
      <c r="G19" t="s">
        <v>13</v>
      </c>
      <c r="H19" s="13">
        <v>298077</v>
      </c>
      <c r="I19" s="14">
        <f>_xlfn.XLOOKUP(H19,'Lookup Tabellen'!$C$3:$C$9,'Lookup Tabellen'!$D$3:$D$9,"nicht Gefunden",-1)</f>
        <v>7.4999999999999997E-2</v>
      </c>
    </row>
    <row r="20" spans="1:13" x14ac:dyDescent="0.3">
      <c r="A20">
        <v>18</v>
      </c>
      <c r="B20" s="24">
        <v>8062</v>
      </c>
      <c r="C20" t="s">
        <v>55</v>
      </c>
      <c r="D20" t="s">
        <v>56</v>
      </c>
      <c r="E20" t="s">
        <v>97</v>
      </c>
      <c r="F20" t="s">
        <v>22</v>
      </c>
      <c r="G20" t="s">
        <v>17</v>
      </c>
      <c r="H20" s="13">
        <v>1203029</v>
      </c>
      <c r="I20" s="14">
        <f>_xlfn.XLOOKUP(H20,'Lookup Tabellen'!$C$3:$C$9,'Lookup Tabellen'!$D$3:$D$9,"nicht Gefunden",-1)</f>
        <v>0.15</v>
      </c>
    </row>
    <row r="21" spans="1:13" x14ac:dyDescent="0.3">
      <c r="A21">
        <v>19</v>
      </c>
      <c r="B21" s="24">
        <v>5266</v>
      </c>
      <c r="C21" t="s">
        <v>57</v>
      </c>
      <c r="D21" t="s">
        <v>58</v>
      </c>
      <c r="E21" t="s">
        <v>98</v>
      </c>
      <c r="F21" t="s">
        <v>22</v>
      </c>
      <c r="G21" t="s">
        <v>29</v>
      </c>
      <c r="H21" s="13">
        <v>363853</v>
      </c>
      <c r="I21" s="14">
        <f>_xlfn.XLOOKUP(H21,'Lookup Tabellen'!$C$3:$C$9,'Lookup Tabellen'!$D$3:$D$9,"nicht Gefunden",-1)</f>
        <v>7.4999999999999997E-2</v>
      </c>
    </row>
    <row r="22" spans="1:13" x14ac:dyDescent="0.3">
      <c r="A22">
        <v>20</v>
      </c>
      <c r="B22" s="25">
        <v>8398</v>
      </c>
      <c r="C22" s="7" t="s">
        <v>59</v>
      </c>
      <c r="D22" s="7" t="s">
        <v>60</v>
      </c>
      <c r="E22" s="7" t="s">
        <v>99</v>
      </c>
      <c r="F22" s="7" t="s">
        <v>28</v>
      </c>
      <c r="G22" s="7" t="s">
        <v>13</v>
      </c>
      <c r="H22" s="15">
        <v>289414</v>
      </c>
      <c r="I22" s="14">
        <f>_xlfn.XLOOKUP(H22,'Lookup Tabellen'!$C$3:$C$9,'Lookup Tabellen'!$D$3:$D$9,"nicht Gefunden",-1)</f>
        <v>7.4999999999999997E-2</v>
      </c>
    </row>
    <row r="25" spans="1:13" x14ac:dyDescent="0.3">
      <c r="B25" s="28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F914-6C53-4464-9239-5312AA784854}">
  <dimension ref="B2:G13"/>
  <sheetViews>
    <sheetView zoomScale="145" zoomScaleNormal="145" workbookViewId="0">
      <selection activeCell="D3" sqref="D3"/>
    </sheetView>
  </sheetViews>
  <sheetFormatPr baseColWidth="10" defaultColWidth="11.44140625" defaultRowHeight="14.4" x14ac:dyDescent="0.3"/>
  <cols>
    <col min="2" max="2" width="10.44140625" customWidth="1"/>
    <col min="3" max="3" width="13.5546875" bestFit="1" customWidth="1"/>
    <col min="4" max="4" width="15.88671875" customWidth="1"/>
    <col min="5" max="5" width="18.109375" bestFit="1" customWidth="1"/>
    <col min="6" max="6" width="12.6640625" bestFit="1" customWidth="1"/>
    <col min="7" max="7" width="22" bestFit="1" customWidth="1"/>
  </cols>
  <sheetData>
    <row r="2" spans="2:7" x14ac:dyDescent="0.3">
      <c r="B2" s="31" t="s">
        <v>61</v>
      </c>
      <c r="C2" s="31" t="s">
        <v>7</v>
      </c>
      <c r="D2" s="31" t="s">
        <v>62</v>
      </c>
      <c r="E2" s="31" t="s">
        <v>63</v>
      </c>
      <c r="F2" s="31" t="s">
        <v>64</v>
      </c>
      <c r="G2" s="31" t="s">
        <v>79</v>
      </c>
    </row>
    <row r="3" spans="2:7" x14ac:dyDescent="0.3">
      <c r="B3" s="33" t="s">
        <v>65</v>
      </c>
      <c r="C3" s="34">
        <v>52234.35</v>
      </c>
      <c r="D3" s="33">
        <f>_xlfn.XLOOKUP($B3,'Lookup Tabellen'!$H$3:$H$17,'Lookup Tabellen'!$G$3:$G$17,"Nicht gefunden",0,1)</f>
        <v>961</v>
      </c>
      <c r="E3" s="33">
        <f>_xlfn.XLOOKUP($B3,'Lookup Tabellen'!$H$3:$H$17,'Lookup Tabellen'!$G$3:$G$17,"Nicht gefunden",0,-1)</f>
        <v>961</v>
      </c>
      <c r="F3" s="33">
        <f>_xlfn.XLOOKUP(C3,'Lookup Tabellen'!$C$3:$C$9,'Lookup Tabellen'!$B$3:$B$9,"NV",-1,1)</f>
        <v>2</v>
      </c>
      <c r="G3" s="33">
        <f>IFERROR(E3-D3,"Nicht gefunden")</f>
        <v>0</v>
      </c>
    </row>
    <row r="4" spans="2:7" x14ac:dyDescent="0.3">
      <c r="B4" s="33" t="s">
        <v>66</v>
      </c>
      <c r="C4" s="34">
        <v>33723.339999999997</v>
      </c>
      <c r="D4" s="33">
        <f>_xlfn.XLOOKUP(B4,'Lookup Tabellen'!$H$3:$H$17,'Lookup Tabellen'!$G$3:$G$17,"Nicht gefunden",0,1)</f>
        <v>1274</v>
      </c>
      <c r="E4" s="33">
        <f>_xlfn.XLOOKUP($B4,'Lookup Tabellen'!$H$3:$H$17,'Lookup Tabellen'!$G$3:$G$17,"Nicht gefunden",0,-1)</f>
        <v>1274</v>
      </c>
      <c r="F4" s="33">
        <f>_xlfn.XLOOKUP(C4,'Lookup Tabellen'!$C$3:$C$9,'Lookup Tabellen'!$B$3:$B$9,"NV",-1,1)</f>
        <v>1</v>
      </c>
      <c r="G4" s="33">
        <f t="shared" ref="G4:G13" si="0">IFERROR(E4-D4,"Nicht gefunden")</f>
        <v>0</v>
      </c>
    </row>
    <row r="5" spans="2:7" x14ac:dyDescent="0.3">
      <c r="B5" s="33" t="s">
        <v>67</v>
      </c>
      <c r="C5" s="34">
        <v>151384.94</v>
      </c>
      <c r="D5" s="33">
        <f>_xlfn.XLOOKUP(B5,'Lookup Tabellen'!$H$3:$H$17,'Lookup Tabellen'!$G$3:$G$17,"Nicht gefunden",0,1)</f>
        <v>423</v>
      </c>
      <c r="E5" s="33">
        <f>_xlfn.XLOOKUP($B5,'Lookup Tabellen'!$H$3:$H$17,'Lookup Tabellen'!$G$3:$G$17,"Nicht gefunden",0,-1)</f>
        <v>423</v>
      </c>
      <c r="F5" s="33">
        <f>_xlfn.XLOOKUP(C5,'Lookup Tabellen'!$C$3:$C$9,'Lookup Tabellen'!$B$3:$B$9,"NV",-1,1)</f>
        <v>3</v>
      </c>
      <c r="G5" s="33">
        <f t="shared" si="0"/>
        <v>0</v>
      </c>
    </row>
    <row r="6" spans="2:7" x14ac:dyDescent="0.3">
      <c r="B6" s="33" t="s">
        <v>68</v>
      </c>
      <c r="C6" s="34">
        <v>243728.55</v>
      </c>
      <c r="D6" s="33">
        <f>_xlfn.XLOOKUP(B6,'Lookup Tabellen'!$H$3:$H$17,'Lookup Tabellen'!$G$3:$G$17,"Nicht gefunden",0,1)</f>
        <v>2512</v>
      </c>
      <c r="E6" s="33">
        <f>_xlfn.XLOOKUP($B6,'Lookup Tabellen'!$H$3:$H$17,'Lookup Tabellen'!$G$3:$G$17,"Nicht gefunden",0,-1)</f>
        <v>2646</v>
      </c>
      <c r="F6" s="33">
        <f>_xlfn.XLOOKUP(C6,'Lookup Tabellen'!$C$3:$C$9,'Lookup Tabellen'!$B$3:$B$9,"NV",-1,1)</f>
        <v>3</v>
      </c>
      <c r="G6" s="33">
        <f t="shared" si="0"/>
        <v>134</v>
      </c>
    </row>
    <row r="7" spans="2:7" x14ac:dyDescent="0.3">
      <c r="B7" s="33" t="s">
        <v>69</v>
      </c>
      <c r="C7" s="34">
        <v>1639234.76</v>
      </c>
      <c r="D7" s="33">
        <f>_xlfn.XLOOKUP(B7,'Lookup Tabellen'!$H$3:$H$17,'Lookup Tabellen'!$G$3:$G$17,"Nicht gefunden",0,1)</f>
        <v>1923</v>
      </c>
      <c r="E7" s="33">
        <f>_xlfn.XLOOKUP($B7,'Lookup Tabellen'!$H$3:$H$17,'Lookup Tabellen'!$G$3:$G$17,"Nicht gefunden",0,-1)</f>
        <v>1788</v>
      </c>
      <c r="F7" s="33">
        <f>_xlfn.XLOOKUP(C7,'Lookup Tabellen'!$C$3:$C$9,'Lookup Tabellen'!$B$3:$B$9,"NV",-1,1)</f>
        <v>6</v>
      </c>
      <c r="G7" s="33">
        <f t="shared" si="0"/>
        <v>-135</v>
      </c>
    </row>
    <row r="8" spans="2:7" x14ac:dyDescent="0.3">
      <c r="B8" s="33" t="s">
        <v>70</v>
      </c>
      <c r="C8" s="34">
        <v>934650.02</v>
      </c>
      <c r="D8" s="33">
        <f>_xlfn.XLOOKUP(B8,'Lookup Tabellen'!$H$3:$H$17,'Lookup Tabellen'!$G$3:$G$17,"Nicht gefunden",0,1)</f>
        <v>224</v>
      </c>
      <c r="E8" s="33">
        <f>_xlfn.XLOOKUP($B8,'Lookup Tabellen'!$H$3:$H$17,'Lookup Tabellen'!$G$3:$G$17,"Nicht gefunden",0,-1)</f>
        <v>225</v>
      </c>
      <c r="F8" s="33">
        <f>_xlfn.XLOOKUP(C8,'Lookup Tabellen'!$C$3:$C$9,'Lookup Tabellen'!$B$3:$B$9,"NV",-1,1)</f>
        <v>5</v>
      </c>
      <c r="G8" s="33">
        <f t="shared" si="0"/>
        <v>1</v>
      </c>
    </row>
    <row r="9" spans="2:7" x14ac:dyDescent="0.3">
      <c r="B9" s="33" t="s">
        <v>71</v>
      </c>
      <c r="C9" s="34">
        <v>8677.51</v>
      </c>
      <c r="D9" s="33">
        <f>_xlfn.XLOOKUP(B9,'Lookup Tabellen'!$H$3:$H$17,'Lookup Tabellen'!$G$3:$G$17,"Nicht gefunden",0,1)</f>
        <v>624</v>
      </c>
      <c r="E9" s="33">
        <f>_xlfn.XLOOKUP($B9,'Lookup Tabellen'!$H$3:$H$17,'Lookup Tabellen'!$G$3:$G$17,"Nicht gefunden",0,-1)</f>
        <v>629</v>
      </c>
      <c r="F9" s="33">
        <f>_xlfn.XLOOKUP(C9,'Lookup Tabellen'!$C$3:$C$9,'Lookup Tabellen'!$B$3:$B$9,"NV",-1,1)</f>
        <v>0</v>
      </c>
      <c r="G9" s="33">
        <f t="shared" si="0"/>
        <v>5</v>
      </c>
    </row>
    <row r="10" spans="2:7" x14ac:dyDescent="0.3">
      <c r="B10" s="33" t="s">
        <v>72</v>
      </c>
      <c r="C10" s="34">
        <v>13568.33</v>
      </c>
      <c r="D10" s="33">
        <f>_xlfn.XLOOKUP(B10,'Lookup Tabellen'!$H$3:$H$17,'Lookup Tabellen'!$G$3:$G$17,"Nicht gefunden",0,1)</f>
        <v>243</v>
      </c>
      <c r="E10" s="33">
        <f>_xlfn.XLOOKUP($B10,'Lookup Tabellen'!$H$3:$H$17,'Lookup Tabellen'!$G$3:$G$17,"Nicht gefunden",0,-1)</f>
        <v>236</v>
      </c>
      <c r="F10" s="33">
        <f>_xlfn.XLOOKUP(C10,'Lookup Tabellen'!$C$3:$C$9,'Lookup Tabellen'!$B$3:$B$9,"NV",-1,1)</f>
        <v>1</v>
      </c>
      <c r="G10" s="33">
        <f t="shared" si="0"/>
        <v>-7</v>
      </c>
    </row>
    <row r="11" spans="2:7" x14ac:dyDescent="0.3">
      <c r="B11" s="33" t="s">
        <v>73</v>
      </c>
      <c r="C11" s="34">
        <v>790574.39</v>
      </c>
      <c r="D11" s="33">
        <f>_xlfn.XLOOKUP(B11,'Lookup Tabellen'!$H$3:$H$17,'Lookup Tabellen'!$G$3:$G$17,"Nicht gefunden",0,1)</f>
        <v>243</v>
      </c>
      <c r="E11" s="33">
        <f>_xlfn.XLOOKUP($B11,'Lookup Tabellen'!$H$3:$H$17,'Lookup Tabellen'!$G$3:$G$17,"Nicht gefunden",0,-1)</f>
        <v>243</v>
      </c>
      <c r="F11" s="33">
        <f>_xlfn.XLOOKUP(C11,'Lookup Tabellen'!$C$3:$C$9,'Lookup Tabellen'!$B$3:$B$9,"NV",-1,1)</f>
        <v>5</v>
      </c>
      <c r="G11" s="33">
        <f t="shared" si="0"/>
        <v>0</v>
      </c>
    </row>
    <row r="12" spans="2:7" x14ac:dyDescent="0.3">
      <c r="B12" s="33" t="s">
        <v>74</v>
      </c>
      <c r="C12" s="34">
        <v>407280.28</v>
      </c>
      <c r="D12" s="33">
        <f>_xlfn.XLOOKUP(B12,'Lookup Tabellen'!$H$3:$H$17,'Lookup Tabellen'!$G$3:$G$17,"Nicht gefunden",0,1)</f>
        <v>344</v>
      </c>
      <c r="E12" s="33">
        <f>_xlfn.XLOOKUP($B12,'Lookup Tabellen'!$H$3:$H$17,'Lookup Tabellen'!$G$3:$G$17,"Nicht gefunden",0,-1)</f>
        <v>344</v>
      </c>
      <c r="F12" s="33">
        <f>_xlfn.XLOOKUP(C12,'Lookup Tabellen'!$C$3:$C$9,'Lookup Tabellen'!$B$3:$B$9,"NV",-1,1)</f>
        <v>4</v>
      </c>
      <c r="G12" s="33">
        <f t="shared" si="0"/>
        <v>0</v>
      </c>
    </row>
    <row r="13" spans="2:7" x14ac:dyDescent="0.3">
      <c r="B13" s="33" t="s">
        <v>75</v>
      </c>
      <c r="C13" s="34">
        <v>100266.67</v>
      </c>
      <c r="D13" s="33" t="str">
        <f>_xlfn.XLOOKUP(B13,'Lookup Tabellen'!$H$3:$H$17,'Lookup Tabellen'!$G$3:$G$17,"Nicht gefunden",0,1)</f>
        <v>Nicht gefunden</v>
      </c>
      <c r="E13" s="33" t="str">
        <f>_xlfn.XLOOKUP($B13,'Lookup Tabellen'!$H$3:$H$17,'Lookup Tabellen'!$G$3:$G$17,"Nicht gefunden",0,-1)</f>
        <v>Nicht gefunden</v>
      </c>
      <c r="F13" s="33">
        <f>_xlfn.XLOOKUP(C13,'Lookup Tabellen'!$C$3:$C$9,'Lookup Tabellen'!$B$3:$B$9,"NV",-1,1)</f>
        <v>3</v>
      </c>
      <c r="G13" s="33" t="str">
        <f t="shared" si="0"/>
        <v>Nicht gefunden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BE741-3764-4ACD-8A73-9FED514D5C9E}">
  <dimension ref="B2:I17"/>
  <sheetViews>
    <sheetView workbookViewId="0">
      <selection activeCell="G3" sqref="G3:G17"/>
    </sheetView>
  </sheetViews>
  <sheetFormatPr baseColWidth="10" defaultColWidth="11.44140625" defaultRowHeight="14.4" x14ac:dyDescent="0.3"/>
  <cols>
    <col min="3" max="3" width="14.33203125" bestFit="1" customWidth="1"/>
    <col min="7" max="7" width="11.6640625" bestFit="1" customWidth="1"/>
  </cols>
  <sheetData>
    <row r="2" spans="2:9" x14ac:dyDescent="0.3">
      <c r="B2" s="1" t="s">
        <v>64</v>
      </c>
      <c r="C2" s="2" t="s">
        <v>76</v>
      </c>
      <c r="D2" s="3" t="s">
        <v>8</v>
      </c>
      <c r="F2" s="1" t="s">
        <v>77</v>
      </c>
      <c r="G2" s="2" t="s">
        <v>62</v>
      </c>
      <c r="H2" s="3" t="s">
        <v>61</v>
      </c>
    </row>
    <row r="3" spans="2:9" x14ac:dyDescent="0.3">
      <c r="B3" s="4">
        <v>0</v>
      </c>
      <c r="C3" s="20">
        <v>0</v>
      </c>
      <c r="D3" s="9">
        <v>0</v>
      </c>
      <c r="F3" s="21">
        <v>45017</v>
      </c>
      <c r="G3">
        <v>961</v>
      </c>
      <c r="H3" s="5" t="s">
        <v>65</v>
      </c>
    </row>
    <row r="4" spans="2:9" x14ac:dyDescent="0.3">
      <c r="B4" s="4">
        <v>1</v>
      </c>
      <c r="C4" s="20">
        <v>10000</v>
      </c>
      <c r="D4" s="9">
        <v>0.01</v>
      </c>
      <c r="F4" s="21">
        <v>45017</v>
      </c>
      <c r="G4">
        <v>1274</v>
      </c>
      <c r="H4" s="5" t="s">
        <v>66</v>
      </c>
    </row>
    <row r="5" spans="2:9" x14ac:dyDescent="0.3">
      <c r="B5" s="4">
        <v>2</v>
      </c>
      <c r="C5" s="20">
        <v>50000</v>
      </c>
      <c r="D5" s="9">
        <v>2.5000000000000001E-2</v>
      </c>
      <c r="F5" s="21">
        <v>45017</v>
      </c>
      <c r="G5" s="35">
        <v>423</v>
      </c>
      <c r="H5" s="5" t="s">
        <v>67</v>
      </c>
    </row>
    <row r="6" spans="2:9" x14ac:dyDescent="0.3">
      <c r="B6" s="4">
        <v>3</v>
      </c>
      <c r="C6" s="20">
        <v>100000</v>
      </c>
      <c r="D6" s="9">
        <v>0.05</v>
      </c>
      <c r="F6" s="21">
        <v>45019</v>
      </c>
      <c r="G6">
        <v>2512</v>
      </c>
      <c r="H6" s="5" t="s">
        <v>68</v>
      </c>
    </row>
    <row r="7" spans="2:9" x14ac:dyDescent="0.3">
      <c r="B7" s="4">
        <v>4</v>
      </c>
      <c r="C7" s="20">
        <v>250000</v>
      </c>
      <c r="D7" s="9">
        <v>7.4999999999999997E-2</v>
      </c>
      <c r="F7" s="21">
        <v>45019</v>
      </c>
      <c r="G7">
        <v>1923</v>
      </c>
      <c r="H7" s="5" t="s">
        <v>69</v>
      </c>
    </row>
    <row r="8" spans="2:9" x14ac:dyDescent="0.3">
      <c r="B8" s="4">
        <v>5</v>
      </c>
      <c r="C8" s="20">
        <v>500000</v>
      </c>
      <c r="D8" s="9">
        <v>0.1</v>
      </c>
      <c r="F8" s="21">
        <v>45019</v>
      </c>
      <c r="G8">
        <v>224</v>
      </c>
      <c r="H8" s="5" t="s">
        <v>70</v>
      </c>
    </row>
    <row r="9" spans="2:9" x14ac:dyDescent="0.3">
      <c r="B9" s="6">
        <v>6</v>
      </c>
      <c r="C9" s="27">
        <v>1000000</v>
      </c>
      <c r="D9" s="10">
        <v>0.15</v>
      </c>
      <c r="F9" s="21">
        <v>45020</v>
      </c>
      <c r="G9">
        <v>624</v>
      </c>
      <c r="H9" s="5" t="s">
        <v>71</v>
      </c>
    </row>
    <row r="10" spans="2:9" x14ac:dyDescent="0.3">
      <c r="C10" s="11" t="s">
        <v>78</v>
      </c>
      <c r="F10" s="21">
        <v>45021</v>
      </c>
      <c r="G10">
        <v>243</v>
      </c>
      <c r="H10" s="5" t="s">
        <v>72</v>
      </c>
    </row>
    <row r="11" spans="2:9" x14ac:dyDescent="0.3">
      <c r="F11" s="21">
        <v>45022</v>
      </c>
      <c r="G11">
        <v>243</v>
      </c>
      <c r="H11" s="5" t="s">
        <v>73</v>
      </c>
    </row>
    <row r="12" spans="2:9" x14ac:dyDescent="0.3">
      <c r="F12" s="21">
        <v>45022</v>
      </c>
      <c r="G12">
        <v>344</v>
      </c>
      <c r="H12" s="5" t="s">
        <v>74</v>
      </c>
    </row>
    <row r="13" spans="2:9" x14ac:dyDescent="0.3">
      <c r="F13" s="21">
        <v>45203</v>
      </c>
      <c r="G13">
        <v>2646</v>
      </c>
      <c r="H13" s="5" t="s">
        <v>68</v>
      </c>
      <c r="I13" s="26"/>
    </row>
    <row r="14" spans="2:9" x14ac:dyDescent="0.3">
      <c r="F14" s="21">
        <v>45203</v>
      </c>
      <c r="G14">
        <v>1788</v>
      </c>
      <c r="H14" s="5" t="s">
        <v>69</v>
      </c>
      <c r="I14" s="26"/>
    </row>
    <row r="15" spans="2:9" x14ac:dyDescent="0.3">
      <c r="F15" s="21">
        <v>45205</v>
      </c>
      <c r="G15">
        <v>225</v>
      </c>
      <c r="H15" s="5" t="s">
        <v>70</v>
      </c>
      <c r="I15" s="26"/>
    </row>
    <row r="16" spans="2:9" x14ac:dyDescent="0.3">
      <c r="F16" s="21">
        <v>45236</v>
      </c>
      <c r="G16">
        <v>629</v>
      </c>
      <c r="H16" s="5" t="s">
        <v>71</v>
      </c>
      <c r="I16" s="26"/>
    </row>
    <row r="17" spans="6:9" x14ac:dyDescent="0.3">
      <c r="F17" s="22">
        <v>45262</v>
      </c>
      <c r="G17" s="7">
        <v>236</v>
      </c>
      <c r="H17" s="8" t="s">
        <v>72</v>
      </c>
      <c r="I17" s="26"/>
    </row>
  </sheetData>
  <autoFilter ref="F2:H17" xr:uid="{EE5BE741-3764-4ACD-8A73-9FED514D5C9E}">
    <sortState xmlns:xlrd2="http://schemas.microsoft.com/office/spreadsheetml/2017/richdata2" ref="F3:H17">
      <sortCondition ref="F2:F17"/>
    </sortState>
  </autoFilter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515A-5DDA-40C4-A8FC-E04B22CE2F6E}">
  <dimension ref="B3:K23"/>
  <sheetViews>
    <sheetView workbookViewId="0">
      <selection activeCell="N9" sqref="N9"/>
    </sheetView>
  </sheetViews>
  <sheetFormatPr baseColWidth="10" defaultRowHeight="14.4" x14ac:dyDescent="0.3"/>
  <cols>
    <col min="2" max="2" width="8.44140625" bestFit="1" customWidth="1"/>
    <col min="3" max="3" width="8.6640625" bestFit="1" customWidth="1"/>
    <col min="4" max="4" width="10.109375" bestFit="1" customWidth="1"/>
    <col min="5" max="5" width="22.5546875" bestFit="1" customWidth="1"/>
    <col min="6" max="6" width="9.6640625" bestFit="1" customWidth="1"/>
    <col min="7" max="7" width="9.77734375" bestFit="1" customWidth="1"/>
    <col min="8" max="8" width="10.44140625" bestFit="1" customWidth="1"/>
    <col min="9" max="9" width="6.109375" bestFit="1" customWidth="1"/>
    <col min="10" max="10" width="12.6640625" customWidth="1"/>
    <col min="11" max="11" width="14.33203125" bestFit="1" customWidth="1"/>
  </cols>
  <sheetData>
    <row r="3" spans="2:11" x14ac:dyDescent="0.3">
      <c r="B3" s="17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7</v>
      </c>
      <c r="I3" s="19" t="s">
        <v>8</v>
      </c>
    </row>
    <row r="4" spans="2:11" x14ac:dyDescent="0.3">
      <c r="B4" s="24">
        <v>3902</v>
      </c>
      <c r="C4" t="s">
        <v>10</v>
      </c>
      <c r="D4" t="s">
        <v>11</v>
      </c>
      <c r="E4" s="12" t="s">
        <v>80</v>
      </c>
      <c r="F4" t="s">
        <v>12</v>
      </c>
      <c r="G4" t="s">
        <v>13</v>
      </c>
      <c r="H4" s="13">
        <v>354788</v>
      </c>
      <c r="I4" s="14">
        <f>_xlfn.XLOOKUP(H4,'Lookup Tabellen'!$C$3:$C$9,'Lookup Tabellen'!$D$3:$D$9,"nicht Gefunden",-1)</f>
        <v>7.4999999999999997E-2</v>
      </c>
      <c r="K4" s="36"/>
    </row>
    <row r="5" spans="2:11" x14ac:dyDescent="0.3">
      <c r="B5" s="24">
        <v>1880</v>
      </c>
      <c r="C5" t="s">
        <v>14</v>
      </c>
      <c r="D5" t="s">
        <v>15</v>
      </c>
      <c r="E5" t="s">
        <v>81</v>
      </c>
      <c r="F5" t="s">
        <v>16</v>
      </c>
      <c r="G5" t="s">
        <v>17</v>
      </c>
      <c r="H5" s="13">
        <v>188074</v>
      </c>
      <c r="I5" s="14">
        <f>_xlfn.XLOOKUP(H5,'Lookup Tabellen'!$C$3:$C$9,'Lookup Tabellen'!$D$3:$D$9,"nicht Gefunden",-1)</f>
        <v>0.05</v>
      </c>
    </row>
    <row r="6" spans="2:11" x14ac:dyDescent="0.3">
      <c r="B6" s="24">
        <v>9077</v>
      </c>
      <c r="C6" t="s">
        <v>14</v>
      </c>
      <c r="D6" t="s">
        <v>18</v>
      </c>
      <c r="E6" t="s">
        <v>82</v>
      </c>
      <c r="F6" t="s">
        <v>19</v>
      </c>
      <c r="G6" t="s">
        <v>17</v>
      </c>
      <c r="H6" s="13">
        <v>897473</v>
      </c>
      <c r="I6" s="14">
        <f>_xlfn.XLOOKUP(H6,'Lookup Tabellen'!$C$3:$C$9,'Lookup Tabellen'!$D$3:$D$9,"nicht Gefunden",-1)</f>
        <v>0.1</v>
      </c>
    </row>
    <row r="7" spans="2:11" x14ac:dyDescent="0.3">
      <c r="B7" s="24">
        <v>6888</v>
      </c>
      <c r="C7" t="s">
        <v>20</v>
      </c>
      <c r="D7" t="s">
        <v>21</v>
      </c>
      <c r="E7" t="s">
        <v>83</v>
      </c>
      <c r="F7" t="s">
        <v>22</v>
      </c>
      <c r="G7" t="s">
        <v>13</v>
      </c>
      <c r="H7" s="13">
        <v>1228477</v>
      </c>
      <c r="I7" s="14">
        <f>_xlfn.XLOOKUP(H7,'Lookup Tabellen'!$C$3:$C$9,'Lookup Tabellen'!$D$3:$D$9,"nicht Gefunden",-1)</f>
        <v>0.15</v>
      </c>
    </row>
    <row r="8" spans="2:11" x14ac:dyDescent="0.3">
      <c r="B8" s="24">
        <v>8170</v>
      </c>
      <c r="C8" t="s">
        <v>24</v>
      </c>
      <c r="D8" t="s">
        <v>25</v>
      </c>
      <c r="E8" t="s">
        <v>84</v>
      </c>
      <c r="F8" t="s">
        <v>19</v>
      </c>
      <c r="G8" t="s">
        <v>13</v>
      </c>
      <c r="H8" s="13">
        <v>424371</v>
      </c>
      <c r="I8" s="14">
        <f>_xlfn.XLOOKUP(H8,'Lookup Tabellen'!$C$3:$C$9,'Lookup Tabellen'!$D$3:$D$9,"nicht Gefunden",-1)</f>
        <v>7.4999999999999997E-2</v>
      </c>
    </row>
    <row r="9" spans="2:11" x14ac:dyDescent="0.3">
      <c r="B9" s="24">
        <v>7133</v>
      </c>
      <c r="C9" t="s">
        <v>26</v>
      </c>
      <c r="D9" t="s">
        <v>27</v>
      </c>
      <c r="E9" t="s">
        <v>85</v>
      </c>
      <c r="F9" t="s">
        <v>28</v>
      </c>
      <c r="G9" t="s">
        <v>29</v>
      </c>
      <c r="H9" s="13">
        <v>901880</v>
      </c>
      <c r="I9" s="14">
        <f>_xlfn.XLOOKUP(H9,'Lookup Tabellen'!$C$3:$C$9,'Lookup Tabellen'!$D$3:$D$9,"nicht Gefunden",-1)</f>
        <v>0.1</v>
      </c>
    </row>
    <row r="10" spans="2:11" x14ac:dyDescent="0.3">
      <c r="B10" s="24">
        <v>1506</v>
      </c>
      <c r="C10" t="s">
        <v>30</v>
      </c>
      <c r="D10" t="s">
        <v>31</v>
      </c>
      <c r="E10" t="s">
        <v>86</v>
      </c>
      <c r="F10" t="s">
        <v>32</v>
      </c>
      <c r="G10" t="s">
        <v>29</v>
      </c>
      <c r="H10" s="13">
        <v>279020</v>
      </c>
      <c r="I10" s="14">
        <f>_xlfn.XLOOKUP(H10,'Lookup Tabellen'!$C$3:$C$9,'Lookup Tabellen'!$D$3:$D$9,"nicht Gefunden",-1)</f>
        <v>7.4999999999999997E-2</v>
      </c>
    </row>
    <row r="11" spans="2:11" x14ac:dyDescent="0.3">
      <c r="B11" s="24">
        <v>9749</v>
      </c>
      <c r="C11" t="s">
        <v>34</v>
      </c>
      <c r="D11" t="s">
        <v>35</v>
      </c>
      <c r="E11" t="s">
        <v>87</v>
      </c>
      <c r="F11" t="s">
        <v>32</v>
      </c>
      <c r="G11" t="s">
        <v>13</v>
      </c>
      <c r="H11" s="13">
        <v>854886</v>
      </c>
      <c r="I11" s="14">
        <f>_xlfn.XLOOKUP(H11,'Lookup Tabellen'!$C$3:$C$9,'Lookup Tabellen'!$D$3:$D$9,"nicht Gefunden",-1)</f>
        <v>0.1</v>
      </c>
    </row>
    <row r="12" spans="2:11" x14ac:dyDescent="0.3">
      <c r="B12" s="24">
        <v>7741</v>
      </c>
      <c r="C12" t="s">
        <v>36</v>
      </c>
      <c r="D12" t="s">
        <v>37</v>
      </c>
      <c r="E12" t="s">
        <v>88</v>
      </c>
      <c r="F12" t="s">
        <v>19</v>
      </c>
      <c r="G12" t="s">
        <v>29</v>
      </c>
      <c r="H12" s="13">
        <v>91683</v>
      </c>
      <c r="I12" s="14">
        <f>_xlfn.XLOOKUP(H12,'Lookup Tabellen'!$C$3:$C$9,'Lookup Tabellen'!$D$3:$D$9,"nicht Gefunden",-1)</f>
        <v>2.5000000000000001E-2</v>
      </c>
    </row>
    <row r="13" spans="2:11" x14ac:dyDescent="0.3">
      <c r="B13" s="24">
        <v>9512</v>
      </c>
      <c r="C13" t="s">
        <v>38</v>
      </c>
      <c r="D13" t="s">
        <v>39</v>
      </c>
      <c r="E13" t="s">
        <v>89</v>
      </c>
      <c r="F13" t="s">
        <v>28</v>
      </c>
      <c r="G13" t="s">
        <v>29</v>
      </c>
      <c r="H13" s="13">
        <v>934650</v>
      </c>
      <c r="I13" s="14">
        <f>_xlfn.XLOOKUP(H13,'Lookup Tabellen'!$C$3:$C$9,'Lookup Tabellen'!$D$3:$D$9,"nicht Gefunden",-1)</f>
        <v>0.1</v>
      </c>
    </row>
    <row r="14" spans="2:11" x14ac:dyDescent="0.3">
      <c r="B14" s="24">
        <v>7081</v>
      </c>
      <c r="C14" t="s">
        <v>40</v>
      </c>
      <c r="D14" t="s">
        <v>41</v>
      </c>
      <c r="E14" t="s">
        <v>90</v>
      </c>
      <c r="F14" t="s">
        <v>28</v>
      </c>
      <c r="G14" t="s">
        <v>13</v>
      </c>
      <c r="H14" s="13">
        <v>8677</v>
      </c>
      <c r="I14" s="14">
        <f>_xlfn.XLOOKUP(H14,'Lookup Tabellen'!$C$3:$C$9,'Lookup Tabellen'!$D$3:$D$9,"nicht Gefunden",-1)</f>
        <v>0</v>
      </c>
    </row>
    <row r="15" spans="2:11" x14ac:dyDescent="0.3">
      <c r="B15" s="24">
        <v>1247</v>
      </c>
      <c r="C15" t="s">
        <v>42</v>
      </c>
      <c r="D15" t="s">
        <v>43</v>
      </c>
      <c r="E15" t="s">
        <v>91</v>
      </c>
      <c r="F15" t="s">
        <v>32</v>
      </c>
      <c r="G15" t="s">
        <v>17</v>
      </c>
      <c r="H15" s="13">
        <v>13568</v>
      </c>
      <c r="I15" s="14">
        <f>_xlfn.XLOOKUP(H15,'Lookup Tabellen'!$C$3:$C$9,'Lookup Tabellen'!$D$3:$D$9,"nicht Gefunden",-1)</f>
        <v>0.01</v>
      </c>
    </row>
    <row r="16" spans="2:11" x14ac:dyDescent="0.3">
      <c r="B16" s="24">
        <v>5493</v>
      </c>
      <c r="C16" t="s">
        <v>44</v>
      </c>
      <c r="D16" t="s">
        <v>45</v>
      </c>
      <c r="E16" t="s">
        <v>92</v>
      </c>
      <c r="F16" t="s">
        <v>22</v>
      </c>
      <c r="G16" t="s">
        <v>13</v>
      </c>
      <c r="H16" s="13">
        <v>790574</v>
      </c>
      <c r="I16" s="14">
        <f>_xlfn.XLOOKUP(H16,'Lookup Tabellen'!$C$3:$C$9,'Lookup Tabellen'!$D$3:$D$9,"nicht Gefunden",-1)</f>
        <v>0.1</v>
      </c>
    </row>
    <row r="17" spans="2:9" x14ac:dyDescent="0.3">
      <c r="B17" s="24">
        <v>6690</v>
      </c>
      <c r="C17" t="s">
        <v>46</v>
      </c>
      <c r="D17" t="s">
        <v>47</v>
      </c>
      <c r="E17" t="s">
        <v>93</v>
      </c>
      <c r="F17" t="s">
        <v>28</v>
      </c>
      <c r="G17" t="s">
        <v>13</v>
      </c>
      <c r="H17" s="13">
        <v>407280</v>
      </c>
      <c r="I17" s="14">
        <f>_xlfn.XLOOKUP(H17,'Lookup Tabellen'!$C$3:$C$9,'Lookup Tabellen'!$D$3:$D$9,"nicht Gefunden",-1)</f>
        <v>7.4999999999999997E-2</v>
      </c>
    </row>
    <row r="18" spans="2:9" x14ac:dyDescent="0.3">
      <c r="B18" s="24">
        <v>9942</v>
      </c>
      <c r="C18" t="s">
        <v>48</v>
      </c>
      <c r="D18" t="s">
        <v>49</v>
      </c>
      <c r="E18" t="s">
        <v>94</v>
      </c>
      <c r="F18" t="s">
        <v>22</v>
      </c>
      <c r="G18" t="s">
        <v>29</v>
      </c>
      <c r="H18" s="13">
        <v>1002266</v>
      </c>
      <c r="I18" s="14">
        <f>_xlfn.XLOOKUP(H18,'Lookup Tabellen'!$C$3:$C$9,'Lookup Tabellen'!$D$3:$D$9,"nicht Gefunden",-1)</f>
        <v>0.15</v>
      </c>
    </row>
    <row r="19" spans="2:9" x14ac:dyDescent="0.3">
      <c r="B19" s="24">
        <v>8736</v>
      </c>
      <c r="C19" t="s">
        <v>51</v>
      </c>
      <c r="D19" t="s">
        <v>52</v>
      </c>
      <c r="E19" t="s">
        <v>95</v>
      </c>
      <c r="F19" t="s">
        <v>12</v>
      </c>
      <c r="G19" t="s">
        <v>17</v>
      </c>
      <c r="H19" s="13">
        <v>195971</v>
      </c>
      <c r="I19" s="14">
        <f>_xlfn.XLOOKUP(H19,'Lookup Tabellen'!$C$3:$C$9,'Lookup Tabellen'!$D$3:$D$9,"nicht Gefunden",-1)</f>
        <v>0.05</v>
      </c>
    </row>
    <row r="20" spans="2:9" x14ac:dyDescent="0.3">
      <c r="B20" s="24">
        <v>7036</v>
      </c>
      <c r="C20" t="s">
        <v>53</v>
      </c>
      <c r="D20" t="s">
        <v>54</v>
      </c>
      <c r="E20" t="s">
        <v>96</v>
      </c>
      <c r="F20" t="s">
        <v>19</v>
      </c>
      <c r="G20" t="s">
        <v>13</v>
      </c>
      <c r="H20" s="13">
        <v>298077</v>
      </c>
      <c r="I20" s="14">
        <f>_xlfn.XLOOKUP(H20,'Lookup Tabellen'!$C$3:$C$9,'Lookup Tabellen'!$D$3:$D$9,"nicht Gefunden",-1)</f>
        <v>7.4999999999999997E-2</v>
      </c>
    </row>
    <row r="21" spans="2:9" x14ac:dyDescent="0.3">
      <c r="B21" s="24">
        <v>8062</v>
      </c>
      <c r="C21" t="s">
        <v>55</v>
      </c>
      <c r="D21" t="s">
        <v>56</v>
      </c>
      <c r="E21" t="s">
        <v>97</v>
      </c>
      <c r="F21" t="s">
        <v>22</v>
      </c>
      <c r="G21" t="s">
        <v>17</v>
      </c>
      <c r="H21" s="13">
        <v>1203029</v>
      </c>
      <c r="I21" s="14">
        <f>_xlfn.XLOOKUP(H21,'Lookup Tabellen'!$C$3:$C$9,'Lookup Tabellen'!$D$3:$D$9,"nicht Gefunden",-1)</f>
        <v>0.15</v>
      </c>
    </row>
    <row r="22" spans="2:9" x14ac:dyDescent="0.3">
      <c r="B22" s="24">
        <v>5266</v>
      </c>
      <c r="C22" t="s">
        <v>57</v>
      </c>
      <c r="D22" t="s">
        <v>58</v>
      </c>
      <c r="E22" t="s">
        <v>98</v>
      </c>
      <c r="F22" t="s">
        <v>22</v>
      </c>
      <c r="G22" t="s">
        <v>29</v>
      </c>
      <c r="H22" s="13">
        <v>363853</v>
      </c>
      <c r="I22" s="14">
        <f>_xlfn.XLOOKUP(H22,'Lookup Tabellen'!$C$3:$C$9,'Lookup Tabellen'!$D$3:$D$9,"nicht Gefunden",-1)</f>
        <v>7.4999999999999997E-2</v>
      </c>
    </row>
    <row r="23" spans="2:9" x14ac:dyDescent="0.3">
      <c r="B23" s="25">
        <v>8398</v>
      </c>
      <c r="C23" s="7" t="s">
        <v>59</v>
      </c>
      <c r="D23" s="7" t="s">
        <v>60</v>
      </c>
      <c r="E23" s="7" t="s">
        <v>99</v>
      </c>
      <c r="F23" s="7" t="s">
        <v>28</v>
      </c>
      <c r="G23" s="7" t="s">
        <v>13</v>
      </c>
      <c r="H23" s="15">
        <v>289414</v>
      </c>
      <c r="I23" s="14">
        <f>_xlfn.XLOOKUP(H23,'Lookup Tabellen'!$C$3:$C$9,'Lookup Tabellen'!$D$3:$D$9,"nicht Gefunden",-1)</f>
        <v>7.4999999999999997E-2</v>
      </c>
    </row>
  </sheetData>
  <conditionalFormatting sqref="C4:C23">
    <cfRule type="uniqueValues" dxfId="9" priority="8"/>
    <cfRule type="duplicateValues" dxfId="8" priority="7"/>
  </conditionalFormatting>
  <conditionalFormatting sqref="F4:F23">
    <cfRule type="uniqueValues" dxfId="7" priority="6"/>
  </conditionalFormatting>
  <conditionalFormatting sqref="H4:H23">
    <cfRule type="dataBar" priority="5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{0CA4D228-9ADC-4510-9E8D-3CC47094F092}</x14:id>
        </ext>
      </extLst>
    </cfRule>
  </conditionalFormatting>
  <conditionalFormatting sqref="G4:G23">
    <cfRule type="expression" dxfId="6" priority="2">
      <formula>G4="Freelancer"</formula>
    </cfRule>
  </conditionalFormatting>
  <conditionalFormatting sqref="I4:I23">
    <cfRule type="expression" dxfId="5" priority="1">
      <formula>AND(G4="Freelancer",I4&gt;0.075)</formula>
    </cfRule>
  </conditionalFormatting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A4D228-9ADC-4510-9E8D-3CC47094F0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H4:H23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CFC027D4C8C5B468193B81BEB5D66F9" ma:contentTypeVersion="8" ma:contentTypeDescription="Ein neues Dokument erstellen." ma:contentTypeScope="" ma:versionID="fa06d94448103cd39b9575e7a385b341">
  <xsd:schema xmlns:xsd="http://www.w3.org/2001/XMLSchema" xmlns:xs="http://www.w3.org/2001/XMLSchema" xmlns:p="http://schemas.microsoft.com/office/2006/metadata/properties" xmlns:ns2="8a165a28-bd74-4236-af7b-1f59c9987376" targetNamespace="http://schemas.microsoft.com/office/2006/metadata/properties" ma:root="true" ma:fieldsID="c8efc5fcb11854acd7fc9cdb1981aef3" ns2:_="">
    <xsd:import namespace="8a165a28-bd74-4236-af7b-1f59c9987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65a28-bd74-4236-af7b-1f59c99873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F53D11-35FD-43B6-9D4B-18970DC913FF}">
  <ds:schemaRefs>
    <ds:schemaRef ds:uri="http://www.w3.org/XML/1998/namespace"/>
    <ds:schemaRef ds:uri="http://purl.org/dc/terms/"/>
    <ds:schemaRef ds:uri="8165742e-25ed-42f5-bfd9-bfe649c61638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EE2486E-951A-4F87-84B2-8D64D2D098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65a28-bd74-4236-af7b-1f59c99873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A7B962-6E21-44A2-8015-F224A5108F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SVERWEIS – SLOOKUP</vt:lpstr>
      <vt:lpstr>XVERWEIS – XLOOKUP</vt:lpstr>
      <vt:lpstr>Lookup Tabellen</vt:lpstr>
      <vt:lpstr>Array - SummenProdukt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Haberichter</dc:creator>
  <cp:keywords/>
  <dc:description/>
  <cp:lastModifiedBy>Donald Brim</cp:lastModifiedBy>
  <cp:revision/>
  <dcterms:created xsi:type="dcterms:W3CDTF">2024-03-04T19:41:14Z</dcterms:created>
  <dcterms:modified xsi:type="dcterms:W3CDTF">2025-03-24T11:29:29Z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0x0101004CFC027D4C8C5B468193B81BEB5D66F9</vt:lpwstr>
  </property>
  <property fmtid="{D5CDD505-2E9C-101B-9397-08002B2CF9AE}" pid="3" name="Order">
    <vt:r8>17100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