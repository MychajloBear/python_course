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SI\Python\Woche03\2026-10-14\"/>
    </mc:Choice>
  </mc:AlternateContent>
  <xr:revisionPtr revIDLastSave="0" documentId="13_ncr:1_{48773371-51AE-470D-9E12-D09D5C7948A2}" xr6:coauthVersionLast="47" xr6:coauthVersionMax="47" xr10:uidLastSave="{00000000-0000-0000-0000-000000000000}"/>
  <bookViews>
    <workbookView xWindow="-110" yWindow="-110" windowWidth="25820" windowHeight="15500" xr2:uid="{A452F4AE-B2D0-430D-ACDA-315AA4B42298}"/>
  </bookViews>
  <sheets>
    <sheet name="Aufgabe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9" i="2" l="1"/>
  <c r="L16" i="2"/>
  <c r="L13" i="2"/>
  <c r="L10" i="2"/>
  <c r="L9" i="2"/>
  <c r="L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Yannik (DSI)</author>
  </authors>
  <commentList>
    <comment ref="L13" authorId="0" shapeId="0" xr:uid="{F219E127-FF61-48BD-9089-5C01833420BB}">
      <text>
        <r>
          <rPr>
            <sz val="9"/>
            <color indexed="81"/>
            <rFont val="Segoe UI"/>
            <family val="2"/>
            <charset val="204"/>
          </rPr>
          <t>Das * enthält beliebig viele Buchstaben. Mit "A*" finden wir also alle Wörter, die mit "A" beginnen.</t>
        </r>
      </text>
    </comment>
  </commentList>
</comments>
</file>

<file path=xl/sharedStrings.xml><?xml version="1.0" encoding="utf-8"?>
<sst xmlns="http://schemas.openxmlformats.org/spreadsheetml/2006/main" count="373" uniqueCount="209">
  <si>
    <t>Excel SUMIF Practice Exercises</t>
  </si>
  <si>
    <t>#</t>
  </si>
  <si>
    <t>Date</t>
  </si>
  <si>
    <t>Sales Rep</t>
  </si>
  <si>
    <t>Customer</t>
  </si>
  <si>
    <t>Brand</t>
  </si>
  <si>
    <t>Cost Price</t>
  </si>
  <si>
    <t>Selling Price</t>
  </si>
  <si>
    <t>Profit %</t>
  </si>
  <si>
    <t>Exercise 01 SUMIF Greater Than Criteria</t>
  </si>
  <si>
    <t>S-01</t>
  </si>
  <si>
    <t>Ben</t>
  </si>
  <si>
    <t>Noland Jacklin</t>
  </si>
  <si>
    <t>Sony</t>
  </si>
  <si>
    <t>Cost &gt;$1,000</t>
  </si>
  <si>
    <t>S-02</t>
  </si>
  <si>
    <t>Jacob</t>
  </si>
  <si>
    <t>Emmerich Housecraft</t>
  </si>
  <si>
    <t>Acer</t>
  </si>
  <si>
    <t>S-03</t>
  </si>
  <si>
    <t>Helyn Bourthoumieux</t>
  </si>
  <si>
    <t>S-04</t>
  </si>
  <si>
    <t>Denni Meekins</t>
  </si>
  <si>
    <t>Dell</t>
  </si>
  <si>
    <t>S-05</t>
  </si>
  <si>
    <t>Patrizio Bettinson</t>
  </si>
  <si>
    <t>MSI</t>
  </si>
  <si>
    <t>S-06</t>
  </si>
  <si>
    <t>Dorry Eddy</t>
  </si>
  <si>
    <t>Microsoft</t>
  </si>
  <si>
    <t>S-07</t>
  </si>
  <si>
    <t>Erik Justice</t>
  </si>
  <si>
    <t>Sales Generated by Ben</t>
  </si>
  <si>
    <t>S-08</t>
  </si>
  <si>
    <t>Editha Cragell</t>
  </si>
  <si>
    <t>Sales Generated by Jacob</t>
  </si>
  <si>
    <t>S-09</t>
  </si>
  <si>
    <t>Katti Bucknill</t>
  </si>
  <si>
    <t>Asus</t>
  </si>
  <si>
    <t>S-10</t>
  </si>
  <si>
    <t>Corinna Machan</t>
  </si>
  <si>
    <t>HP</t>
  </si>
  <si>
    <t>S-11</t>
  </si>
  <si>
    <t>Taber Bettanay</t>
  </si>
  <si>
    <t>Selling Price of Brand A*</t>
  </si>
  <si>
    <t>S-12</t>
  </si>
  <si>
    <t>Collin Bauman</t>
  </si>
  <si>
    <t>S-13</t>
  </si>
  <si>
    <t>Conant Raiston</t>
  </si>
  <si>
    <t>S-14</t>
  </si>
  <si>
    <t>Daryl Lambal</t>
  </si>
  <si>
    <t>Lenovo</t>
  </si>
  <si>
    <t>Selling Price of Sony or Acer</t>
  </si>
  <si>
    <t>S-15</t>
  </si>
  <si>
    <t>Juli M'Chirrie</t>
  </si>
  <si>
    <t>LG</t>
  </si>
  <si>
    <t>S-16</t>
  </si>
  <si>
    <t>Judon Suddock</t>
  </si>
  <si>
    <t>S-17</t>
  </si>
  <si>
    <t>Burt Durgan</t>
  </si>
  <si>
    <t>Profit in July</t>
  </si>
  <si>
    <t>S-18</t>
  </si>
  <si>
    <t>Sheffie Camell</t>
  </si>
  <si>
    <t>S-19</t>
  </si>
  <si>
    <t>Rhodie Fache</t>
  </si>
  <si>
    <t>S-20</t>
  </si>
  <si>
    <t>Garv Dyne</t>
  </si>
  <si>
    <t>S-21</t>
  </si>
  <si>
    <t>Gradeigh Killingbeck</t>
  </si>
  <si>
    <t>S-22</t>
  </si>
  <si>
    <t>Hershel Henkens</t>
  </si>
  <si>
    <t>S-23</t>
  </si>
  <si>
    <t>Cori Tinkler</t>
  </si>
  <si>
    <t>S-24</t>
  </si>
  <si>
    <t>Jessika Rugge</t>
  </si>
  <si>
    <t>S-25</t>
  </si>
  <si>
    <t>Alfonse Cantera</t>
  </si>
  <si>
    <t>S-26</t>
  </si>
  <si>
    <t>Cornie Garrat</t>
  </si>
  <si>
    <t>S-27</t>
  </si>
  <si>
    <t>Lynn Haton</t>
  </si>
  <si>
    <t>S-28</t>
  </si>
  <si>
    <t>Etan Vasechkin</t>
  </si>
  <si>
    <t>S-29</t>
  </si>
  <si>
    <t>Bianca Cartman</t>
  </si>
  <si>
    <t>S-30</t>
  </si>
  <si>
    <t>Madonna Bumpas</t>
  </si>
  <si>
    <t>S-31</t>
  </si>
  <si>
    <t>Duncan Reffe</t>
  </si>
  <si>
    <t>S-32</t>
  </si>
  <si>
    <t>Kitti Hartless</t>
  </si>
  <si>
    <t>S-33</t>
  </si>
  <si>
    <t>Maison Eim</t>
  </si>
  <si>
    <t>S-34</t>
  </si>
  <si>
    <t>Gabie O'Towey</t>
  </si>
  <si>
    <t>S-35</t>
  </si>
  <si>
    <t>Monique Nuemann</t>
  </si>
  <si>
    <t>S-36</t>
  </si>
  <si>
    <t>Martha Pieroni</t>
  </si>
  <si>
    <t>S-37</t>
  </si>
  <si>
    <t>Wally Coal</t>
  </si>
  <si>
    <t>S-38</t>
  </si>
  <si>
    <t>Clotilda Reaman</t>
  </si>
  <si>
    <t>S-39</t>
  </si>
  <si>
    <t>Theodoric Birden</t>
  </si>
  <si>
    <t>S-40</t>
  </si>
  <si>
    <t>Sarge Baggett</t>
  </si>
  <si>
    <t>S-41</t>
  </si>
  <si>
    <t>Malia Tylor</t>
  </si>
  <si>
    <t>S-42</t>
  </si>
  <si>
    <t>Aeriel Regenhardt</t>
  </si>
  <si>
    <t>S-43</t>
  </si>
  <si>
    <t>Sheffie Macilhench</t>
  </si>
  <si>
    <t>S-44</t>
  </si>
  <si>
    <t>Elianora Gorringe</t>
  </si>
  <si>
    <t>S-45</t>
  </si>
  <si>
    <t>Skye Dincey</t>
  </si>
  <si>
    <t>S-46</t>
  </si>
  <si>
    <t>Nara Devenny</t>
  </si>
  <si>
    <t>S-47</t>
  </si>
  <si>
    <t>Roy Bilverstone</t>
  </si>
  <si>
    <t>S-48</t>
  </si>
  <si>
    <t>Blanche Greveson</t>
  </si>
  <si>
    <t>S-49</t>
  </si>
  <si>
    <t>Davita Garth</t>
  </si>
  <si>
    <t>S-50</t>
  </si>
  <si>
    <t>Brett Kinnerk</t>
  </si>
  <si>
    <t>Apple</t>
  </si>
  <si>
    <t>S-51</t>
  </si>
  <si>
    <t>Latashia Hendrick</t>
  </si>
  <si>
    <t>S-52</t>
  </si>
  <si>
    <t>Trisha Hasley</t>
  </si>
  <si>
    <t>S-53</t>
  </si>
  <si>
    <t>Vittorio Obey</t>
  </si>
  <si>
    <t>S-54</t>
  </si>
  <si>
    <t>Sydelle Purselowe</t>
  </si>
  <si>
    <t>S-55</t>
  </si>
  <si>
    <t>Angie MacHoste</t>
  </si>
  <si>
    <t>S-56</t>
  </si>
  <si>
    <t>Michel Dagon</t>
  </si>
  <si>
    <t>S-57</t>
  </si>
  <si>
    <t>Astrid Kilborn</t>
  </si>
  <si>
    <t>S-58</t>
  </si>
  <si>
    <t>Austin Wellings</t>
  </si>
  <si>
    <t>S-59</t>
  </si>
  <si>
    <t>Patty Simoneau</t>
  </si>
  <si>
    <t>S-60</t>
  </si>
  <si>
    <t>Alvira Delacroux</t>
  </si>
  <si>
    <t>S-61</t>
  </si>
  <si>
    <t>Bent Delhay</t>
  </si>
  <si>
    <t>S-62</t>
  </si>
  <si>
    <t>Lindi Brydon</t>
  </si>
  <si>
    <t>S-63</t>
  </si>
  <si>
    <t>Sue Scuse</t>
  </si>
  <si>
    <t>S-64</t>
  </si>
  <si>
    <t>Tally Causley</t>
  </si>
  <si>
    <t>S-65</t>
  </si>
  <si>
    <t>Lucilia Dohrmann</t>
  </si>
  <si>
    <t>S-66</t>
  </si>
  <si>
    <t>Virgil Alans</t>
  </si>
  <si>
    <t>S-67</t>
  </si>
  <si>
    <t>Mel Capaldi</t>
  </si>
  <si>
    <t>S-68</t>
  </si>
  <si>
    <t>Aleen Plain</t>
  </si>
  <si>
    <t>S-69</t>
  </si>
  <si>
    <t>Anet Carden</t>
  </si>
  <si>
    <t>S-70</t>
  </si>
  <si>
    <t>Leonid Pohlke</t>
  </si>
  <si>
    <t>S-71</t>
  </si>
  <si>
    <t>Hedda Julyan</t>
  </si>
  <si>
    <t>S-72</t>
  </si>
  <si>
    <t>Sela Marjoribanks</t>
  </si>
  <si>
    <t>S-73</t>
  </si>
  <si>
    <t>Jervis Turley</t>
  </si>
  <si>
    <t>S-74</t>
  </si>
  <si>
    <t>Gisela McIlveen</t>
  </si>
  <si>
    <t>S-75</t>
  </si>
  <si>
    <t>Sapphire Davisson</t>
  </si>
  <si>
    <t>S-76</t>
  </si>
  <si>
    <t>Moyna Bernet</t>
  </si>
  <si>
    <t>S-77</t>
  </si>
  <si>
    <t>Gawen Hustings</t>
  </si>
  <si>
    <t>S-78</t>
  </si>
  <si>
    <t>Stewart Withur</t>
  </si>
  <si>
    <t>S-79</t>
  </si>
  <si>
    <t>Morgan Zaniolini</t>
  </si>
  <si>
    <t>S-80</t>
  </si>
  <si>
    <t>Omar Starmont</t>
  </si>
  <si>
    <t>S-81</t>
  </si>
  <si>
    <t>Lea Broadberry</t>
  </si>
  <si>
    <t>S-82</t>
  </si>
  <si>
    <t>Meridith Gaw</t>
  </si>
  <si>
    <t>S-83</t>
  </si>
  <si>
    <t>Leonanie Wiszniewski</t>
  </si>
  <si>
    <t>S-84</t>
  </si>
  <si>
    <t>Myles Bodechon</t>
  </si>
  <si>
    <t>S-85</t>
  </si>
  <si>
    <t>Kandace Polon</t>
  </si>
  <si>
    <t>S-86</t>
  </si>
  <si>
    <t>Laetitia Kleinsmuntz</t>
  </si>
  <si>
    <t>S-87</t>
  </si>
  <si>
    <t>Marcile Rigden</t>
  </si>
  <si>
    <t>S-88</t>
  </si>
  <si>
    <t>Angie Preshaw</t>
  </si>
  <si>
    <t>Exercise 02 Total Selling Price per Sales Rep</t>
  </si>
  <si>
    <t>Exercise 03: Implementation of Wildcard Character</t>
  </si>
  <si>
    <t>Exercise 04: OR Criteria with SUMIF Function</t>
  </si>
  <si>
    <t>Exercise 05: Profit Earned for the Month of July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</si>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</sst>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[$-409]dd\-mmm\-yy;@"/>
    <numFmt numFmtId="165" formatCode="&quot;$&quot;#,##0.00_);[Red]\(&quot;$&quot;#,##0.00\)"/>
    <numFmt numFmtId="166" formatCode="&quot;$&quot;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2"/>
      <color rgb="FF000000"/>
      <name val="Aptos Narrow"/>
      <family val="2"/>
    </font>
    <font>
      <sz val="11"/>
      <color theme="1"/>
      <name val="Aptos Narrow"/>
      <family val="2"/>
    </font>
    <font>
      <b/>
      <sz val="14"/>
      <color theme="3" tint="0.89999084444715716"/>
      <name val="Aptos Narrow"/>
      <family val="2"/>
    </font>
    <font>
      <sz val="9"/>
      <color indexed="81"/>
      <name val="Segoe U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FF"/>
        <bgColor indexed="64"/>
      </patternFill>
    </fill>
    <fill>
      <patternFill patternType="solid">
        <fgColor rgb="FFC0E6F5"/>
        <bgColor rgb="FFC0E6F5"/>
      </patternFill>
    </fill>
    <fill>
      <patternFill patternType="solid">
        <fgColor rgb="FF0070C0"/>
        <bgColor rgb="FF000000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44B3E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31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2" xfId="0" applyFont="1" applyBorder="1" applyAlignment="1">
      <alignment horizontal="center" vertical="center"/>
    </xf>
    <xf numFmtId="165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vertical="center"/>
    </xf>
    <xf numFmtId="166" fontId="3" fillId="0" borderId="2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vertical="center"/>
    </xf>
    <xf numFmtId="0" fontId="5" fillId="3" borderId="2" xfId="0" applyFont="1" applyFill="1" applyBorder="1" applyAlignment="1">
      <alignment horizontal="center" vertical="center"/>
    </xf>
    <xf numFmtId="164" fontId="5" fillId="3" borderId="2" xfId="0" applyNumberFormat="1" applyFont="1" applyFill="1" applyBorder="1" applyAlignment="1">
      <alignment horizontal="center" vertical="center"/>
    </xf>
    <xf numFmtId="165" fontId="5" fillId="3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64" fontId="5" fillId="0" borderId="2" xfId="0" applyNumberFormat="1" applyFont="1" applyBorder="1" applyAlignment="1">
      <alignment horizontal="center" vertical="center"/>
    </xf>
    <xf numFmtId="165" fontId="5" fillId="0" borderId="2" xfId="0" applyNumberFormat="1" applyFont="1" applyBorder="1" applyAlignment="1">
      <alignment horizontal="center" vertical="center"/>
    </xf>
    <xf numFmtId="165" fontId="6" fillId="3" borderId="2" xfId="0" applyNumberFormat="1" applyFont="1" applyFill="1" applyBorder="1" applyAlignment="1">
      <alignment horizontal="center"/>
    </xf>
    <xf numFmtId="165" fontId="6" fillId="0" borderId="2" xfId="0" applyNumberFormat="1" applyFont="1" applyBorder="1" applyAlignment="1">
      <alignment horizontal="center"/>
    </xf>
    <xf numFmtId="164" fontId="5" fillId="0" borderId="11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10" fontId="5" fillId="3" borderId="8" xfId="1" applyNumberFormat="1" applyFont="1" applyFill="1" applyBorder="1" applyAlignment="1">
      <alignment horizontal="center" vertical="center"/>
    </xf>
    <xf numFmtId="10" fontId="5" fillId="0" borderId="8" xfId="1" applyNumberFormat="1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65" fontId="5" fillId="0" borderId="3" xfId="0" applyNumberFormat="1" applyFont="1" applyBorder="1" applyAlignment="1">
      <alignment horizontal="center" vertical="center"/>
    </xf>
    <xf numFmtId="10" fontId="5" fillId="0" borderId="10" xfId="1" applyNumberFormat="1" applyFont="1" applyFill="1" applyBorder="1" applyAlignment="1">
      <alignment horizontal="center" vertical="center"/>
    </xf>
    <xf numFmtId="0" fontId="7" fillId="4" borderId="4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2" fillId="2" borderId="1" xfId="2" applyFill="1" applyAlignment="1">
      <alignment horizontal="center" vertical="center"/>
    </xf>
  </cellXfs>
  <cellStyles count="3">
    <cellStyle name="Відсотковий" xfId="1" builtinId="5"/>
    <cellStyle name="Заголовок 2" xfId="2" builtinId="17"/>
    <cellStyle name="Звичайний" xfId="0" builtinId="0"/>
  </cellStyles>
  <dxfs count="1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14" formatCode="0.00%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165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165" formatCode="&quot;$&quot;#,##0.00_);[Red]\(&quot;$&quot;#,##0.00\)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numFmt numFmtId="164" formatCode="[$-409]dd\-mmm\-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3" tint="0.89999084444715716"/>
        <name val="Aptos Narrow"/>
        <family val="2"/>
        <scheme val="none"/>
      </font>
      <fill>
        <patternFill patternType="solid">
          <fgColor rgb="FF000000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rgb="FFC0E6F5"/>
          <bgColor rgb="FFC0E6F5"/>
        </patternFill>
      </fill>
    </dxf>
    <dxf>
      <font>
        <b/>
        <color rgb="FF000000"/>
      </font>
    </dxf>
    <dxf>
      <font>
        <b/>
        <color rgb="FF000000"/>
      </font>
    </dxf>
    <dxf>
      <font>
        <b/>
        <color rgb="FF000000"/>
      </font>
      <border>
        <top style="double">
          <color rgb="FF156082"/>
        </top>
      </border>
    </dxf>
    <dxf>
      <font>
        <b/>
        <color rgb="FFFFFFFF"/>
      </font>
      <fill>
        <patternFill patternType="solid">
          <fgColor rgb="FF156082"/>
          <bgColor rgb="FF156082"/>
        </patternFill>
      </fill>
    </dxf>
    <dxf>
      <font>
        <color rgb="FF000000"/>
      </font>
      <border>
        <left style="thin">
          <color rgb="FF44B3E1"/>
        </left>
        <right style="thin">
          <color rgb="FF44B3E1"/>
        </right>
        <top style="thin">
          <color rgb="FF44B3E1"/>
        </top>
        <bottom style="thin">
          <color rgb="FF44B3E1"/>
        </bottom>
        <horizontal style="thin">
          <color rgb="FF44B3E1"/>
        </horizontal>
      </border>
    </dxf>
  </dxfs>
  <tableStyles count="1" defaultTableStyle="TableStyleMedium2" defaultPivotStyle="PivotStyleLight16">
    <tableStyle name="TableStyleMedium2 2" pivot="0" count="7" xr9:uid="{E8D173AF-CDC7-4A43-A3E7-0B4B95778C3D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firstColumnStripe" dxfId="1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337185</xdr:colOff>
      <xdr:row>3</xdr:row>
      <xdr:rowOff>207645</xdr:rowOff>
    </xdr:from>
    <xdr:to>
      <xdr:col>20</xdr:col>
      <xdr:colOff>74295</xdr:colOff>
      <xdr:row>27</xdr:row>
      <xdr:rowOff>173355</xdr:rowOff>
    </xdr:to>
    <xdr:sp macro="" textlink="">
      <xdr:nvSpPr>
        <xdr:cNvPr id="2" name="Speech Bubble: Rectangle with Corners Rounded 2">
          <a:extLst>
            <a:ext uri="{FF2B5EF4-FFF2-40B4-BE49-F238E27FC236}">
              <a16:creationId xmlns:a16="http://schemas.microsoft.com/office/drawing/2014/main" id="{684EE82C-6749-458E-BABE-AA73B3FF8A5B}"/>
            </a:ext>
          </a:extLst>
        </xdr:cNvPr>
        <xdr:cNvSpPr/>
      </xdr:nvSpPr>
      <xdr:spPr>
        <a:xfrm>
          <a:off x="12795885" y="962025"/>
          <a:ext cx="4530090" cy="6000750"/>
        </a:xfrm>
        <a:prstGeom prst="wedgeRoundRectCallout">
          <a:avLst>
            <a:gd name="adj1" fmla="val -63653"/>
            <a:gd name="adj2" fmla="val -17416"/>
            <a:gd name="adj3" fmla="val 16667"/>
          </a:avLst>
        </a:prstGeom>
        <a:solidFill>
          <a:srgbClr val="ECFF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r>
            <a:rPr lang="de-DE" sz="1200" b="1">
              <a:solidFill>
                <a:sysClr val="windowText" lastClr="000000"/>
              </a:solidFill>
            </a:rPr>
            <a:t>Übung 01 – SUMIF: Kriterium „größer als“</a:t>
          </a:r>
        </a:p>
        <a:p>
          <a:r>
            <a:rPr lang="de-DE" sz="1200">
              <a:solidFill>
                <a:sysClr val="windowText" lastClr="000000"/>
              </a:solidFill>
            </a:rPr>
            <a:t>In dieser ersten Übung sollst du die Gesamtkosten der verkauften Produkte berechnen, deren Preis höher als 1.000 $ ist.</a:t>
          </a:r>
        </a:p>
        <a:p>
          <a:endParaRPr lang="de-DE" sz="1200">
            <a:solidFill>
              <a:sysClr val="windowText" lastClr="000000"/>
            </a:solidFill>
          </a:endParaRPr>
        </a:p>
        <a:p>
          <a:endParaRPr lang="de-DE" sz="1200">
            <a:solidFill>
              <a:sysClr val="windowText" lastClr="000000"/>
            </a:solidFill>
          </a:endParaRPr>
        </a:p>
        <a:p>
          <a:r>
            <a:rPr lang="de-DE" sz="1200" b="1">
              <a:solidFill>
                <a:sysClr val="windowText" lastClr="000000"/>
              </a:solidFill>
            </a:rPr>
            <a:t>Übung 02 – Gesamtverkauf pro Vertriebsmitarbeiter</a:t>
          </a:r>
        </a:p>
        <a:p>
          <a:r>
            <a:rPr lang="de-DE" sz="1200">
              <a:solidFill>
                <a:sysClr val="windowText" lastClr="000000"/>
              </a:solidFill>
            </a:rPr>
            <a:t>Berechne den Gesamtumsatz, der von </a:t>
          </a:r>
          <a:r>
            <a:rPr lang="de-DE" sz="1200" b="1">
              <a:solidFill>
                <a:sysClr val="windowText" lastClr="000000"/>
              </a:solidFill>
            </a:rPr>
            <a:t>Ben</a:t>
          </a:r>
          <a:r>
            <a:rPr lang="de-DE" sz="1200">
              <a:solidFill>
                <a:sysClr val="windowText" lastClr="000000"/>
              </a:solidFill>
            </a:rPr>
            <a:t> und </a:t>
          </a:r>
          <a:r>
            <a:rPr lang="de-DE" sz="1200" b="1">
              <a:solidFill>
                <a:sysClr val="windowText" lastClr="000000"/>
              </a:solidFill>
            </a:rPr>
            <a:t>Jacob</a:t>
          </a:r>
          <a:r>
            <a:rPr lang="de-DE" sz="1200">
              <a:solidFill>
                <a:sysClr val="windowText" lastClr="000000"/>
              </a:solidFill>
            </a:rPr>
            <a:t> erzielt wurde.</a:t>
          </a:r>
        </a:p>
        <a:p>
          <a:br>
            <a:rPr lang="de-DE" sz="1200">
              <a:solidFill>
                <a:sysClr val="windowText" lastClr="000000"/>
              </a:solidFill>
            </a:rPr>
          </a:br>
          <a:endParaRPr lang="de-DE" sz="1200">
            <a:solidFill>
              <a:sysClr val="windowText" lastClr="000000"/>
            </a:solidFill>
          </a:endParaRPr>
        </a:p>
        <a:p>
          <a:r>
            <a:rPr lang="de-DE" sz="1200" b="1">
              <a:solidFill>
                <a:sysClr val="windowText" lastClr="000000"/>
              </a:solidFill>
            </a:rPr>
            <a:t>Übung 03 – Verwendung von Platzhaltern (Wildcard)</a:t>
          </a:r>
        </a:p>
        <a:p>
          <a:r>
            <a:rPr lang="de-DE" sz="1200">
              <a:solidFill>
                <a:sysClr val="windowText" lastClr="000000"/>
              </a:solidFill>
            </a:rPr>
            <a:t>Finde den gesamten Verkaufspreis aller Marken, die mit dem Buchstaben </a:t>
          </a:r>
          <a:r>
            <a:rPr lang="de-DE" sz="1200" b="1">
              <a:solidFill>
                <a:sysClr val="windowText" lastClr="000000"/>
              </a:solidFill>
            </a:rPr>
            <a:t>„A“</a:t>
          </a:r>
          <a:r>
            <a:rPr lang="de-DE" sz="1200">
              <a:solidFill>
                <a:sysClr val="windowText" lastClr="000000"/>
              </a:solidFill>
            </a:rPr>
            <a:t> beginnen.</a:t>
          </a:r>
        </a:p>
        <a:p>
          <a:br>
            <a:rPr lang="de-DE" sz="1200">
              <a:solidFill>
                <a:sysClr val="windowText" lastClr="000000"/>
              </a:solidFill>
            </a:rPr>
          </a:br>
          <a:endParaRPr lang="de-DE" sz="1200">
            <a:solidFill>
              <a:sysClr val="windowText" lastClr="000000"/>
            </a:solidFill>
          </a:endParaRPr>
        </a:p>
        <a:p>
          <a:r>
            <a:rPr lang="de-DE" sz="1200" b="1">
              <a:solidFill>
                <a:sysClr val="windowText" lastClr="000000"/>
              </a:solidFill>
            </a:rPr>
            <a:t>Übung 04 – ODER-Kriterium mit SUMIF</a:t>
          </a:r>
        </a:p>
        <a:p>
          <a:r>
            <a:rPr lang="de-DE" sz="1200">
              <a:solidFill>
                <a:sysClr val="windowText" lastClr="000000"/>
              </a:solidFill>
            </a:rPr>
            <a:t>Berechne den Gesamtverkaufspreis der Marken </a:t>
          </a:r>
          <a:r>
            <a:rPr lang="de-DE" sz="1200" b="1">
              <a:solidFill>
                <a:sysClr val="windowText" lastClr="000000"/>
              </a:solidFill>
            </a:rPr>
            <a:t>Sony oder Acer</a:t>
          </a:r>
          <a:r>
            <a:rPr lang="de-DE" sz="1200">
              <a:solidFill>
                <a:sysClr val="windowText" lastClr="000000"/>
              </a:solidFill>
            </a:rPr>
            <a:t>.</a:t>
          </a:r>
        </a:p>
        <a:p>
          <a:br>
            <a:rPr lang="de-DE" sz="1200">
              <a:solidFill>
                <a:sysClr val="windowText" lastClr="000000"/>
              </a:solidFill>
            </a:rPr>
          </a:br>
          <a:endParaRPr lang="de-DE" sz="1200">
            <a:solidFill>
              <a:sysClr val="windowText" lastClr="000000"/>
            </a:solidFill>
          </a:endParaRPr>
        </a:p>
        <a:p>
          <a:r>
            <a:rPr lang="de-DE" sz="1200" b="1">
              <a:solidFill>
                <a:sysClr val="windowText" lastClr="000000"/>
              </a:solidFill>
            </a:rPr>
            <a:t>Übung 05 – Gewinn im Monat Juli</a:t>
          </a:r>
        </a:p>
        <a:p>
          <a:r>
            <a:rPr lang="de-DE" sz="1200">
              <a:solidFill>
                <a:sysClr val="windowText" lastClr="000000"/>
              </a:solidFill>
            </a:rPr>
            <a:t>Berechne den gesamten Gewinn für den Monat Juli.</a:t>
          </a:r>
        </a:p>
        <a:p>
          <a:r>
            <a:rPr lang="de-DE" sz="1200" b="1">
              <a:solidFill>
                <a:sysClr val="windowText" lastClr="000000"/>
              </a:solidFill>
            </a:rPr>
            <a:t>Hinweis:</a:t>
          </a:r>
          <a:br>
            <a:rPr lang="de-DE" sz="1200">
              <a:solidFill>
                <a:sysClr val="windowText" lastClr="000000"/>
              </a:solidFill>
            </a:rPr>
          </a:br>
          <a:r>
            <a:rPr lang="de-DE" sz="1200">
              <a:solidFill>
                <a:sysClr val="windowText" lastClr="000000"/>
              </a:solidFill>
            </a:rPr>
            <a:t>Gewinn = Verkaufspreis − Einkaufspreis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16C6CD1-372C-48F9-8280-9E44C6EF0829}" name="Tabelle3" displayName="Tabelle3" ref="B5:I93" totalsRowShown="0" headerRowDxfId="11" headerRowBorderDxfId="10" tableBorderDxfId="9" totalsRowBorderDxfId="8">
  <autoFilter ref="B5:I93" xr:uid="{716C6CD1-372C-48F9-8280-9E44C6EF0829}"/>
  <tableColumns count="8">
    <tableColumn id="1" xr3:uid="{C37BB6ED-5CC4-406D-BB98-6FD2C5210695}" name="#" dataDxfId="7"/>
    <tableColumn id="2" xr3:uid="{A5AB7A5B-A751-41D3-8738-43383C6E99B4}" name="Date" dataDxfId="6"/>
    <tableColumn id="3" xr3:uid="{247C6DF0-8893-46B6-899A-D56081ACFD90}" name="Sales Rep" dataDxfId="5"/>
    <tableColumn id="4" xr3:uid="{C135C491-D287-49B1-995C-31D3B7691E5E}" name="Customer" dataDxfId="4"/>
    <tableColumn id="5" xr3:uid="{429633E8-C9EC-4837-B13A-0F3574E29E81}" name="Brand" dataDxfId="3"/>
    <tableColumn id="6" xr3:uid="{FD92F6B7-94AB-4799-8CD1-1C1E89862EA0}" name="Cost Price" dataDxfId="2"/>
    <tableColumn id="7" xr3:uid="{CAA6CD8E-9A96-48A7-B8D6-4A8DD1B7DE6B}" name="Selling Price" dataDxfId="1"/>
    <tableColumn id="8" xr3:uid="{4612EDD6-A50B-4293-98F5-A4F62F7C25F5}" name="Profit %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81E2F-828D-4CD0-95A3-41BD54594486}">
  <dimension ref="A1:L93"/>
  <sheetViews>
    <sheetView showGridLines="0" tabSelected="1" topLeftCell="A3" zoomScale="94" zoomScaleNormal="94" workbookViewId="0">
      <selection activeCell="L19" sqref="L19"/>
    </sheetView>
  </sheetViews>
  <sheetFormatPr defaultColWidth="9.1796875" defaultRowHeight="20.149999999999999" customHeight="1" x14ac:dyDescent="0.35"/>
  <cols>
    <col min="1" max="1" width="3.7265625" style="1" customWidth="1"/>
    <col min="2" max="2" width="5" style="1" bestFit="1" customWidth="1"/>
    <col min="3" max="3" width="10.54296875" style="1" bestFit="1" customWidth="1"/>
    <col min="4" max="4" width="13.7265625" style="1" customWidth="1"/>
    <col min="5" max="5" width="21.81640625" style="1" bestFit="1" customWidth="1"/>
    <col min="6" max="6" width="9.81640625" style="1" customWidth="1"/>
    <col min="7" max="7" width="14.453125" style="1" customWidth="1"/>
    <col min="8" max="8" width="16.7265625" style="1" customWidth="1"/>
    <col min="9" max="9" width="11.54296875" style="1" customWidth="1"/>
    <col min="10" max="10" width="5.26953125" style="1" customWidth="1"/>
    <col min="11" max="11" width="32.26953125" style="1" customWidth="1"/>
    <col min="12" max="12" width="32.7265625" style="1" customWidth="1"/>
    <col min="13" max="15" width="9.1796875" style="1"/>
    <col min="16" max="16" width="13.7265625" style="1" bestFit="1" customWidth="1"/>
    <col min="17" max="17" width="12.453125" style="1" bestFit="1" customWidth="1"/>
    <col min="18" max="16384" width="9.1796875" style="1"/>
  </cols>
  <sheetData>
    <row r="1" spans="1:12" ht="20.149999999999999" customHeight="1" x14ac:dyDescent="0.35">
      <c r="A1" s="1" t="s">
        <v>208</v>
      </c>
    </row>
    <row r="2" spans="1:12" ht="20.149999999999999" customHeight="1" thickBot="1" x14ac:dyDescent="0.4">
      <c r="B2" s="30" t="s">
        <v>0</v>
      </c>
      <c r="C2" s="30"/>
      <c r="D2" s="30"/>
      <c r="E2" s="30"/>
      <c r="F2" s="30"/>
      <c r="G2" s="30"/>
      <c r="H2" s="30"/>
      <c r="I2" s="30"/>
    </row>
    <row r="3" spans="1:12" ht="20.149999999999999" customHeight="1" thickTop="1" x14ac:dyDescent="0.35"/>
    <row r="5" spans="1:12" ht="20.149999999999999" customHeight="1" x14ac:dyDescent="0.35">
      <c r="B5" s="27" t="s">
        <v>1</v>
      </c>
      <c r="C5" s="28" t="s">
        <v>2</v>
      </c>
      <c r="D5" s="28" t="s">
        <v>3</v>
      </c>
      <c r="E5" s="28" t="s">
        <v>4</v>
      </c>
      <c r="F5" s="28" t="s">
        <v>5</v>
      </c>
      <c r="G5" s="28" t="s">
        <v>6</v>
      </c>
      <c r="H5" s="28" t="s">
        <v>7</v>
      </c>
      <c r="I5" s="29" t="s">
        <v>8</v>
      </c>
      <c r="K5" s="2" t="s">
        <v>9</v>
      </c>
    </row>
    <row r="6" spans="1:12" ht="20.149999999999999" customHeight="1" x14ac:dyDescent="0.35">
      <c r="B6" s="18" t="s">
        <v>10</v>
      </c>
      <c r="C6" s="9">
        <v>44743</v>
      </c>
      <c r="D6" s="8" t="s">
        <v>11</v>
      </c>
      <c r="E6" s="8" t="s">
        <v>12</v>
      </c>
      <c r="F6" s="8" t="s">
        <v>13</v>
      </c>
      <c r="G6" s="10">
        <v>1112.94</v>
      </c>
      <c r="H6" s="10">
        <v>1288</v>
      </c>
      <c r="I6" s="20">
        <v>0.15729509227811017</v>
      </c>
      <c r="J6" s="5"/>
      <c r="K6" s="3" t="s">
        <v>14</v>
      </c>
      <c r="L6" s="6">
        <f>SUMIF(G6:G93, "&gt;1000")</f>
        <v>79327.760000000009</v>
      </c>
    </row>
    <row r="7" spans="1:12" ht="20.149999999999999" customHeight="1" x14ac:dyDescent="0.35">
      <c r="B7" s="19" t="s">
        <v>15</v>
      </c>
      <c r="C7" s="12">
        <v>44743</v>
      </c>
      <c r="D7" s="11" t="s">
        <v>16</v>
      </c>
      <c r="E7" s="11" t="s">
        <v>17</v>
      </c>
      <c r="F7" s="11" t="s">
        <v>18</v>
      </c>
      <c r="G7" s="13">
        <v>1095.5</v>
      </c>
      <c r="H7" s="13">
        <v>1250.75</v>
      </c>
      <c r="I7" s="21">
        <v>0.14171611136467366</v>
      </c>
      <c r="J7" s="5"/>
    </row>
    <row r="8" spans="1:12" ht="20.149999999999999" customHeight="1" x14ac:dyDescent="0.35">
      <c r="B8" s="18" t="s">
        <v>19</v>
      </c>
      <c r="C8" s="9">
        <v>44746</v>
      </c>
      <c r="D8" s="8" t="s">
        <v>11</v>
      </c>
      <c r="E8" s="8" t="s">
        <v>20</v>
      </c>
      <c r="F8" s="8" t="s">
        <v>18</v>
      </c>
      <c r="G8" s="10">
        <v>1120.94</v>
      </c>
      <c r="H8" s="14">
        <v>1295</v>
      </c>
      <c r="I8" s="20">
        <v>0.15528038967295299</v>
      </c>
      <c r="J8" s="5"/>
      <c r="K8" s="2" t="s">
        <v>204</v>
      </c>
      <c r="L8" s="7"/>
    </row>
    <row r="9" spans="1:12" ht="20.149999999999999" customHeight="1" x14ac:dyDescent="0.35">
      <c r="B9" s="19" t="s">
        <v>21</v>
      </c>
      <c r="C9" s="12">
        <v>44746</v>
      </c>
      <c r="D9" s="11" t="s">
        <v>16</v>
      </c>
      <c r="E9" s="11" t="s">
        <v>22</v>
      </c>
      <c r="F9" s="11" t="s">
        <v>23</v>
      </c>
      <c r="G9" s="13">
        <v>1509.73</v>
      </c>
      <c r="H9" s="15">
        <v>1687.75</v>
      </c>
      <c r="I9" s="21">
        <v>0.11791512389632582</v>
      </c>
      <c r="J9" s="5"/>
      <c r="K9" s="3" t="s">
        <v>32</v>
      </c>
      <c r="L9" s="6">
        <f>SUMIF(D6:D93, "Ben", H6:H93)</f>
        <v>56779.25</v>
      </c>
    </row>
    <row r="10" spans="1:12" ht="20.149999999999999" customHeight="1" x14ac:dyDescent="0.35">
      <c r="B10" s="18" t="s">
        <v>24</v>
      </c>
      <c r="C10" s="9">
        <v>44747</v>
      </c>
      <c r="D10" s="8" t="s">
        <v>11</v>
      </c>
      <c r="E10" s="8" t="s">
        <v>25</v>
      </c>
      <c r="F10" s="8" t="s">
        <v>26</v>
      </c>
      <c r="G10" s="10">
        <v>1235.33</v>
      </c>
      <c r="H10" s="14">
        <v>1412.25</v>
      </c>
      <c r="I10" s="20">
        <v>0.14321679227412926</v>
      </c>
      <c r="J10" s="5"/>
      <c r="K10" s="3" t="s">
        <v>35</v>
      </c>
      <c r="L10" s="6">
        <f>SUMIF(D6:D93, "Jacob", H6:H93)</f>
        <v>56646.5</v>
      </c>
    </row>
    <row r="11" spans="1:12" ht="20.149999999999999" customHeight="1" x14ac:dyDescent="0.35">
      <c r="B11" s="19" t="s">
        <v>27</v>
      </c>
      <c r="C11" s="16">
        <v>44747</v>
      </c>
      <c r="D11" s="17" t="s">
        <v>16</v>
      </c>
      <c r="E11" s="17" t="s">
        <v>28</v>
      </c>
      <c r="F11" s="17" t="s">
        <v>29</v>
      </c>
      <c r="G11" s="13">
        <v>881.93</v>
      </c>
      <c r="H11" s="13">
        <v>962</v>
      </c>
      <c r="I11" s="21">
        <v>9.0789518442506836E-2</v>
      </c>
      <c r="J11" s="5"/>
    </row>
    <row r="12" spans="1:12" ht="20.149999999999999" customHeight="1" x14ac:dyDescent="0.35">
      <c r="B12" s="18" t="s">
        <v>30</v>
      </c>
      <c r="C12" s="9">
        <v>44748</v>
      </c>
      <c r="D12" s="8" t="s">
        <v>11</v>
      </c>
      <c r="E12" s="8" t="s">
        <v>31</v>
      </c>
      <c r="F12" s="8" t="s">
        <v>26</v>
      </c>
      <c r="G12" s="10">
        <v>1075.7</v>
      </c>
      <c r="H12" s="10">
        <v>1142.75</v>
      </c>
      <c r="I12" s="20">
        <v>6.2331505066468298E-2</v>
      </c>
      <c r="J12" s="5"/>
      <c r="K12" s="2" t="s">
        <v>205</v>
      </c>
      <c r="L12" s="7"/>
    </row>
    <row r="13" spans="1:12" ht="20.149999999999999" customHeight="1" x14ac:dyDescent="0.35">
      <c r="B13" s="19" t="s">
        <v>33</v>
      </c>
      <c r="C13" s="12">
        <v>44748</v>
      </c>
      <c r="D13" s="11" t="s">
        <v>16</v>
      </c>
      <c r="E13" s="11" t="s">
        <v>34</v>
      </c>
      <c r="F13" s="11" t="s">
        <v>26</v>
      </c>
      <c r="G13" s="13">
        <v>714.58</v>
      </c>
      <c r="H13" s="13">
        <v>800.5</v>
      </c>
      <c r="I13" s="21">
        <v>0.12023846175375739</v>
      </c>
      <c r="J13" s="5"/>
      <c r="K13" s="3" t="s">
        <v>44</v>
      </c>
      <c r="L13" s="4">
        <f>SUMIF(F6:F93, "A*", H6:H93)</f>
        <v>28483.75</v>
      </c>
    </row>
    <row r="14" spans="1:12" ht="20.149999999999999" customHeight="1" x14ac:dyDescent="0.35">
      <c r="B14" s="18" t="s">
        <v>36</v>
      </c>
      <c r="C14" s="9">
        <v>44749</v>
      </c>
      <c r="D14" s="8" t="s">
        <v>11</v>
      </c>
      <c r="E14" s="8" t="s">
        <v>37</v>
      </c>
      <c r="F14" s="8" t="s">
        <v>38</v>
      </c>
      <c r="G14" s="10">
        <v>1299.1099999999999</v>
      </c>
      <c r="H14" s="10">
        <v>1360</v>
      </c>
      <c r="I14" s="20">
        <v>4.6870549837966076E-2</v>
      </c>
      <c r="J14" s="5"/>
    </row>
    <row r="15" spans="1:12" ht="20.149999999999999" customHeight="1" x14ac:dyDescent="0.35">
      <c r="B15" s="19" t="s">
        <v>39</v>
      </c>
      <c r="C15" s="12">
        <v>44749</v>
      </c>
      <c r="D15" s="11" t="s">
        <v>16</v>
      </c>
      <c r="E15" s="11" t="s">
        <v>40</v>
      </c>
      <c r="F15" s="11" t="s">
        <v>41</v>
      </c>
      <c r="G15" s="13">
        <v>1087.48</v>
      </c>
      <c r="H15" s="13">
        <v>1268.5</v>
      </c>
      <c r="I15" s="21">
        <v>0.16645823371464299</v>
      </c>
      <c r="J15" s="5"/>
      <c r="K15" s="2" t="s">
        <v>206</v>
      </c>
    </row>
    <row r="16" spans="1:12" ht="20.149999999999999" customHeight="1" x14ac:dyDescent="0.35">
      <c r="B16" s="18" t="s">
        <v>42</v>
      </c>
      <c r="C16" s="9">
        <v>44750</v>
      </c>
      <c r="D16" s="8" t="s">
        <v>11</v>
      </c>
      <c r="E16" s="8" t="s">
        <v>43</v>
      </c>
      <c r="F16" s="8" t="s">
        <v>38</v>
      </c>
      <c r="G16" s="10">
        <v>803.79</v>
      </c>
      <c r="H16" s="10">
        <v>907.75</v>
      </c>
      <c r="I16" s="20">
        <v>0.12933726470844381</v>
      </c>
      <c r="J16" s="5"/>
      <c r="K16" s="3" t="s">
        <v>52</v>
      </c>
      <c r="L16" s="4">
        <f>SUMIF(F6:F93, "Sony", H6:H93) + SUMIF(F6:F93, "Acer", H6:H93)</f>
        <v>31082.5</v>
      </c>
    </row>
    <row r="17" spans="2:12" ht="20.149999999999999" customHeight="1" x14ac:dyDescent="0.35">
      <c r="B17" s="19" t="s">
        <v>45</v>
      </c>
      <c r="C17" s="12">
        <v>44750</v>
      </c>
      <c r="D17" s="11" t="s">
        <v>16</v>
      </c>
      <c r="E17" s="11" t="s">
        <v>46</v>
      </c>
      <c r="F17" s="11" t="s">
        <v>41</v>
      </c>
      <c r="G17" s="13">
        <v>1113.73</v>
      </c>
      <c r="H17" s="13">
        <v>1278.75</v>
      </c>
      <c r="I17" s="21">
        <v>0.14816876621802411</v>
      </c>
      <c r="J17" s="5"/>
    </row>
    <row r="18" spans="2:12" ht="20.149999999999999" customHeight="1" x14ac:dyDescent="0.35">
      <c r="B18" s="18" t="s">
        <v>47</v>
      </c>
      <c r="C18" s="9">
        <v>44753</v>
      </c>
      <c r="D18" s="8" t="s">
        <v>11</v>
      </c>
      <c r="E18" s="8" t="s">
        <v>48</v>
      </c>
      <c r="F18" s="8" t="s">
        <v>18</v>
      </c>
      <c r="G18" s="10">
        <v>843.16</v>
      </c>
      <c r="H18" s="10">
        <v>965.25</v>
      </c>
      <c r="I18" s="20">
        <v>0.14480051235827132</v>
      </c>
      <c r="J18" s="5"/>
      <c r="K18" s="2" t="s">
        <v>207</v>
      </c>
    </row>
    <row r="19" spans="2:12" ht="20.149999999999999" customHeight="1" x14ac:dyDescent="0.35">
      <c r="B19" s="19" t="s">
        <v>49</v>
      </c>
      <c r="C19" s="12">
        <v>44753</v>
      </c>
      <c r="D19" s="11" t="s">
        <v>16</v>
      </c>
      <c r="E19" s="11" t="s">
        <v>50</v>
      </c>
      <c r="F19" s="11" t="s">
        <v>51</v>
      </c>
      <c r="G19" s="13">
        <v>1552.52</v>
      </c>
      <c r="H19" s="13">
        <v>1717.5</v>
      </c>
      <c r="I19" s="21">
        <v>0.10626594182361582</v>
      </c>
      <c r="J19" s="5"/>
      <c r="K19" s="3" t="s">
        <v>60</v>
      </c>
      <c r="L19" s="4">
        <f>SUMIFS(H6:H93, C6:C93, "&gt;=01.07.2022", C6:C93, "&lt;=31.07.2022") - SUMIFS(G6:G93, C6:C93, "&gt;=01.07.2022", C6:C93, "&lt;=31.07.2022")</f>
        <v>5165.0799999999945</v>
      </c>
    </row>
    <row r="20" spans="2:12" ht="20.149999999999999" customHeight="1" x14ac:dyDescent="0.35">
      <c r="B20" s="18" t="s">
        <v>53</v>
      </c>
      <c r="C20" s="9">
        <v>44754</v>
      </c>
      <c r="D20" s="8" t="s">
        <v>11</v>
      </c>
      <c r="E20" s="8" t="s">
        <v>54</v>
      </c>
      <c r="F20" s="8" t="s">
        <v>55</v>
      </c>
      <c r="G20" s="10">
        <v>1382.27</v>
      </c>
      <c r="H20" s="10">
        <v>1550.25</v>
      </c>
      <c r="I20" s="20">
        <v>0.12152473829280822</v>
      </c>
      <c r="J20" s="5"/>
    </row>
    <row r="21" spans="2:12" ht="20.149999999999999" customHeight="1" x14ac:dyDescent="0.35">
      <c r="B21" s="19" t="s">
        <v>56</v>
      </c>
      <c r="C21" s="12">
        <v>44754</v>
      </c>
      <c r="D21" s="11" t="s">
        <v>16</v>
      </c>
      <c r="E21" s="11" t="s">
        <v>57</v>
      </c>
      <c r="F21" s="11" t="s">
        <v>23</v>
      </c>
      <c r="G21" s="13">
        <v>1515.76</v>
      </c>
      <c r="H21" s="13">
        <v>1622.75</v>
      </c>
      <c r="I21" s="21">
        <v>7.0585053042698062E-2</v>
      </c>
      <c r="J21" s="5"/>
    </row>
    <row r="22" spans="2:12" ht="20.149999999999999" customHeight="1" x14ac:dyDescent="0.35">
      <c r="B22" s="18" t="s">
        <v>58</v>
      </c>
      <c r="C22" s="9">
        <v>44755</v>
      </c>
      <c r="D22" s="8" t="s">
        <v>11</v>
      </c>
      <c r="E22" s="8" t="s">
        <v>59</v>
      </c>
      <c r="F22" s="8" t="s">
        <v>23</v>
      </c>
      <c r="G22" s="10">
        <v>1264.56</v>
      </c>
      <c r="H22" s="10">
        <v>1328.5</v>
      </c>
      <c r="I22" s="20">
        <v>5.056304169039038E-2</v>
      </c>
      <c r="J22" s="5"/>
    </row>
    <row r="23" spans="2:12" ht="20.149999999999999" customHeight="1" x14ac:dyDescent="0.35">
      <c r="B23" s="19" t="s">
        <v>61</v>
      </c>
      <c r="C23" s="12">
        <v>44755</v>
      </c>
      <c r="D23" s="11" t="s">
        <v>16</v>
      </c>
      <c r="E23" s="11" t="s">
        <v>62</v>
      </c>
      <c r="F23" s="11" t="s">
        <v>51</v>
      </c>
      <c r="G23" s="13">
        <v>1251.98</v>
      </c>
      <c r="H23" s="13">
        <v>1402</v>
      </c>
      <c r="I23" s="21">
        <v>0.11982619530663427</v>
      </c>
      <c r="J23" s="5"/>
    </row>
    <row r="24" spans="2:12" ht="20.149999999999999" customHeight="1" x14ac:dyDescent="0.35">
      <c r="B24" s="18" t="s">
        <v>63</v>
      </c>
      <c r="C24" s="9">
        <v>44756</v>
      </c>
      <c r="D24" s="8" t="s">
        <v>11</v>
      </c>
      <c r="E24" s="8" t="s">
        <v>64</v>
      </c>
      <c r="F24" s="8" t="s">
        <v>18</v>
      </c>
      <c r="G24" s="10">
        <v>986.11</v>
      </c>
      <c r="H24" s="10">
        <v>1054</v>
      </c>
      <c r="I24" s="20">
        <v>6.8846274756365913E-2</v>
      </c>
      <c r="J24" s="5"/>
    </row>
    <row r="25" spans="2:12" ht="20.149999999999999" customHeight="1" x14ac:dyDescent="0.35">
      <c r="B25" s="19" t="s">
        <v>65</v>
      </c>
      <c r="C25" s="12">
        <v>44756</v>
      </c>
      <c r="D25" s="11" t="s">
        <v>16</v>
      </c>
      <c r="E25" s="11" t="s">
        <v>66</v>
      </c>
      <c r="F25" s="11" t="s">
        <v>23</v>
      </c>
      <c r="G25" s="13">
        <v>1514.2</v>
      </c>
      <c r="H25" s="13">
        <v>1571.25</v>
      </c>
      <c r="I25" s="21">
        <v>3.7676660943072218E-2</v>
      </c>
      <c r="J25" s="5"/>
    </row>
    <row r="26" spans="2:12" ht="20.149999999999999" customHeight="1" x14ac:dyDescent="0.35">
      <c r="B26" s="18" t="s">
        <v>67</v>
      </c>
      <c r="C26" s="9">
        <v>44757</v>
      </c>
      <c r="D26" s="8" t="s">
        <v>11</v>
      </c>
      <c r="E26" s="8" t="s">
        <v>68</v>
      </c>
      <c r="F26" s="8" t="s">
        <v>23</v>
      </c>
      <c r="G26" s="10">
        <v>1318.85</v>
      </c>
      <c r="H26" s="10">
        <v>1454.75</v>
      </c>
      <c r="I26" s="20">
        <v>0.10304431891420564</v>
      </c>
      <c r="J26" s="5"/>
    </row>
    <row r="27" spans="2:12" ht="20.149999999999999" customHeight="1" x14ac:dyDescent="0.35">
      <c r="B27" s="19" t="s">
        <v>69</v>
      </c>
      <c r="C27" s="12">
        <v>44757</v>
      </c>
      <c r="D27" s="11" t="s">
        <v>16</v>
      </c>
      <c r="E27" s="11" t="s">
        <v>70</v>
      </c>
      <c r="F27" s="11" t="s">
        <v>51</v>
      </c>
      <c r="G27" s="13">
        <v>1495.11</v>
      </c>
      <c r="H27" s="13">
        <v>1655</v>
      </c>
      <c r="I27" s="21">
        <v>0.10694196413641813</v>
      </c>
      <c r="J27" s="5"/>
    </row>
    <row r="28" spans="2:12" ht="20.149999999999999" customHeight="1" x14ac:dyDescent="0.35">
      <c r="B28" s="18" t="s">
        <v>71</v>
      </c>
      <c r="C28" s="9">
        <v>44760</v>
      </c>
      <c r="D28" s="8" t="s">
        <v>11</v>
      </c>
      <c r="E28" s="8" t="s">
        <v>72</v>
      </c>
      <c r="F28" s="8" t="s">
        <v>41</v>
      </c>
      <c r="G28" s="10">
        <v>1187.7</v>
      </c>
      <c r="H28" s="10">
        <v>1297.75</v>
      </c>
      <c r="I28" s="20">
        <v>9.2658078639387007E-2</v>
      </c>
      <c r="J28" s="5"/>
    </row>
    <row r="29" spans="2:12" ht="20.149999999999999" customHeight="1" x14ac:dyDescent="0.35">
      <c r="B29" s="19" t="s">
        <v>73</v>
      </c>
      <c r="C29" s="12">
        <v>44760</v>
      </c>
      <c r="D29" s="11" t="s">
        <v>16</v>
      </c>
      <c r="E29" s="11" t="s">
        <v>74</v>
      </c>
      <c r="F29" s="11" t="s">
        <v>55</v>
      </c>
      <c r="G29" s="13">
        <v>1150.74</v>
      </c>
      <c r="H29" s="13">
        <v>1225.75</v>
      </c>
      <c r="I29" s="21">
        <v>6.518414237794809E-2</v>
      </c>
      <c r="J29" s="5"/>
    </row>
    <row r="30" spans="2:12" ht="20.149999999999999" customHeight="1" x14ac:dyDescent="0.35">
      <c r="B30" s="18" t="s">
        <v>75</v>
      </c>
      <c r="C30" s="9">
        <v>44761</v>
      </c>
      <c r="D30" s="8" t="s">
        <v>11</v>
      </c>
      <c r="E30" s="8" t="s">
        <v>76</v>
      </c>
      <c r="F30" s="8" t="s">
        <v>55</v>
      </c>
      <c r="G30" s="10">
        <v>1562.68</v>
      </c>
      <c r="H30" s="10">
        <v>1736.75</v>
      </c>
      <c r="I30" s="20">
        <v>0.11139196764532722</v>
      </c>
      <c r="J30" s="5"/>
    </row>
    <row r="31" spans="2:12" ht="20.149999999999999" customHeight="1" x14ac:dyDescent="0.35">
      <c r="B31" s="19" t="s">
        <v>77</v>
      </c>
      <c r="C31" s="12">
        <v>44761</v>
      </c>
      <c r="D31" s="11" t="s">
        <v>16</v>
      </c>
      <c r="E31" s="11" t="s">
        <v>78</v>
      </c>
      <c r="F31" s="11" t="s">
        <v>13</v>
      </c>
      <c r="G31" s="13">
        <v>1514.13</v>
      </c>
      <c r="H31" s="13">
        <v>1620.25</v>
      </c>
      <c r="I31" s="21">
        <v>7.0086452286131237E-2</v>
      </c>
      <c r="J31" s="5"/>
    </row>
    <row r="32" spans="2:12" ht="20.149999999999999" customHeight="1" x14ac:dyDescent="0.35">
      <c r="B32" s="18" t="s">
        <v>79</v>
      </c>
      <c r="C32" s="9">
        <v>44762</v>
      </c>
      <c r="D32" s="8" t="s">
        <v>11</v>
      </c>
      <c r="E32" s="8" t="s">
        <v>80</v>
      </c>
      <c r="F32" s="8" t="s">
        <v>23</v>
      </c>
      <c r="G32" s="10">
        <v>778.27</v>
      </c>
      <c r="H32" s="10">
        <v>930.25</v>
      </c>
      <c r="I32" s="20">
        <v>0.19527927325992267</v>
      </c>
      <c r="J32" s="5"/>
    </row>
    <row r="33" spans="2:10" ht="20.149999999999999" customHeight="1" x14ac:dyDescent="0.35">
      <c r="B33" s="19" t="s">
        <v>81</v>
      </c>
      <c r="C33" s="12">
        <v>44762</v>
      </c>
      <c r="D33" s="11" t="s">
        <v>16</v>
      </c>
      <c r="E33" s="11" t="s">
        <v>82</v>
      </c>
      <c r="F33" s="11" t="s">
        <v>26</v>
      </c>
      <c r="G33" s="13">
        <v>1270.6600000000001</v>
      </c>
      <c r="H33" s="13">
        <v>1334.75</v>
      </c>
      <c r="I33" s="21">
        <v>5.0438354870697047E-2</v>
      </c>
      <c r="J33" s="5"/>
    </row>
    <row r="34" spans="2:10" ht="20.149999999999999" customHeight="1" x14ac:dyDescent="0.35">
      <c r="B34" s="18" t="s">
        <v>83</v>
      </c>
      <c r="C34" s="9">
        <v>44763</v>
      </c>
      <c r="D34" s="8" t="s">
        <v>11</v>
      </c>
      <c r="E34" s="8" t="s">
        <v>84</v>
      </c>
      <c r="F34" s="8" t="s">
        <v>18</v>
      </c>
      <c r="G34" s="10">
        <v>766.72</v>
      </c>
      <c r="H34" s="10">
        <v>841.75</v>
      </c>
      <c r="I34" s="20">
        <v>9.7858409849749542E-2</v>
      </c>
      <c r="J34" s="5"/>
    </row>
    <row r="35" spans="2:10" ht="20.149999999999999" customHeight="1" x14ac:dyDescent="0.35">
      <c r="B35" s="19" t="s">
        <v>85</v>
      </c>
      <c r="C35" s="12">
        <v>44763</v>
      </c>
      <c r="D35" s="11" t="s">
        <v>16</v>
      </c>
      <c r="E35" s="11" t="s">
        <v>86</v>
      </c>
      <c r="F35" s="11" t="s">
        <v>26</v>
      </c>
      <c r="G35" s="13">
        <v>1041.1300000000001</v>
      </c>
      <c r="H35" s="13">
        <v>1157.25</v>
      </c>
      <c r="I35" s="21">
        <v>0.11153266162727025</v>
      </c>
      <c r="J35" s="5"/>
    </row>
    <row r="36" spans="2:10" ht="20.149999999999999" customHeight="1" x14ac:dyDescent="0.35">
      <c r="B36" s="18" t="s">
        <v>87</v>
      </c>
      <c r="C36" s="9">
        <v>44764</v>
      </c>
      <c r="D36" s="8" t="s">
        <v>11</v>
      </c>
      <c r="E36" s="8" t="s">
        <v>88</v>
      </c>
      <c r="F36" s="8" t="s">
        <v>51</v>
      </c>
      <c r="G36" s="10">
        <v>1218.08</v>
      </c>
      <c r="H36" s="10">
        <v>1344</v>
      </c>
      <c r="I36" s="20">
        <v>0.10337580454485755</v>
      </c>
      <c r="J36" s="5"/>
    </row>
    <row r="37" spans="2:10" ht="20.149999999999999" customHeight="1" x14ac:dyDescent="0.35">
      <c r="B37" s="19" t="s">
        <v>89</v>
      </c>
      <c r="C37" s="12">
        <v>44764</v>
      </c>
      <c r="D37" s="11" t="s">
        <v>16</v>
      </c>
      <c r="E37" s="11" t="s">
        <v>90</v>
      </c>
      <c r="F37" s="11" t="s">
        <v>55</v>
      </c>
      <c r="G37" s="13">
        <v>1016.36</v>
      </c>
      <c r="H37" s="13">
        <v>1108.25</v>
      </c>
      <c r="I37" s="21">
        <v>9.0410878035341799E-2</v>
      </c>
      <c r="J37" s="5"/>
    </row>
    <row r="38" spans="2:10" ht="20.149999999999999" customHeight="1" x14ac:dyDescent="0.35">
      <c r="B38" s="18" t="s">
        <v>91</v>
      </c>
      <c r="C38" s="9">
        <v>44767</v>
      </c>
      <c r="D38" s="8" t="s">
        <v>11</v>
      </c>
      <c r="E38" s="8" t="s">
        <v>92</v>
      </c>
      <c r="F38" s="8" t="s">
        <v>18</v>
      </c>
      <c r="G38" s="10">
        <v>1576.91</v>
      </c>
      <c r="H38" s="10">
        <v>1683</v>
      </c>
      <c r="I38" s="20">
        <v>6.7277143273870993E-2</v>
      </c>
      <c r="J38" s="5"/>
    </row>
    <row r="39" spans="2:10" ht="20.149999999999999" customHeight="1" x14ac:dyDescent="0.35">
      <c r="B39" s="19" t="s">
        <v>93</v>
      </c>
      <c r="C39" s="12">
        <v>44767</v>
      </c>
      <c r="D39" s="11" t="s">
        <v>16</v>
      </c>
      <c r="E39" s="11" t="s">
        <v>94</v>
      </c>
      <c r="F39" s="11" t="s">
        <v>51</v>
      </c>
      <c r="G39" s="13">
        <v>870.02</v>
      </c>
      <c r="H39" s="13">
        <v>997</v>
      </c>
      <c r="I39" s="21">
        <v>0.14595066780074023</v>
      </c>
      <c r="J39" s="5"/>
    </row>
    <row r="40" spans="2:10" ht="20.149999999999999" customHeight="1" x14ac:dyDescent="0.35">
      <c r="B40" s="18" t="s">
        <v>95</v>
      </c>
      <c r="C40" s="9">
        <v>44768</v>
      </c>
      <c r="D40" s="8" t="s">
        <v>11</v>
      </c>
      <c r="E40" s="8" t="s">
        <v>96</v>
      </c>
      <c r="F40" s="8" t="s">
        <v>18</v>
      </c>
      <c r="G40" s="10">
        <v>1145.26</v>
      </c>
      <c r="H40" s="10">
        <v>1344.25</v>
      </c>
      <c r="I40" s="20">
        <v>0.17375093865148525</v>
      </c>
      <c r="J40" s="5"/>
    </row>
    <row r="41" spans="2:10" ht="20.149999999999999" customHeight="1" x14ac:dyDescent="0.35">
      <c r="B41" s="19" t="s">
        <v>97</v>
      </c>
      <c r="C41" s="12">
        <v>44768</v>
      </c>
      <c r="D41" s="11" t="s">
        <v>16</v>
      </c>
      <c r="E41" s="11" t="s">
        <v>98</v>
      </c>
      <c r="F41" s="11" t="s">
        <v>13</v>
      </c>
      <c r="G41" s="13">
        <v>1313.05</v>
      </c>
      <c r="H41" s="13">
        <v>1504</v>
      </c>
      <c r="I41" s="21">
        <v>0.14542477438025975</v>
      </c>
      <c r="J41" s="5"/>
    </row>
    <row r="42" spans="2:10" ht="20.149999999999999" customHeight="1" x14ac:dyDescent="0.35">
      <c r="B42" s="18" t="s">
        <v>99</v>
      </c>
      <c r="C42" s="9">
        <v>44769</v>
      </c>
      <c r="D42" s="8" t="s">
        <v>11</v>
      </c>
      <c r="E42" s="8" t="s">
        <v>100</v>
      </c>
      <c r="F42" s="8" t="s">
        <v>23</v>
      </c>
      <c r="G42" s="10">
        <v>833.49</v>
      </c>
      <c r="H42" s="10">
        <v>906.5</v>
      </c>
      <c r="I42" s="20">
        <v>8.759553203997647E-2</v>
      </c>
      <c r="J42" s="5"/>
    </row>
    <row r="43" spans="2:10" ht="20.149999999999999" customHeight="1" x14ac:dyDescent="0.35">
      <c r="B43" s="19" t="s">
        <v>101</v>
      </c>
      <c r="C43" s="12">
        <v>44769</v>
      </c>
      <c r="D43" s="11" t="s">
        <v>16</v>
      </c>
      <c r="E43" s="11" t="s">
        <v>102</v>
      </c>
      <c r="F43" s="11" t="s">
        <v>26</v>
      </c>
      <c r="G43" s="13">
        <v>1578.85</v>
      </c>
      <c r="H43" s="13">
        <v>1711.75</v>
      </c>
      <c r="I43" s="21">
        <v>8.4175190803432942E-2</v>
      </c>
      <c r="J43" s="5"/>
    </row>
    <row r="44" spans="2:10" ht="20.149999999999999" customHeight="1" x14ac:dyDescent="0.35">
      <c r="B44" s="18" t="s">
        <v>103</v>
      </c>
      <c r="C44" s="9">
        <v>44770</v>
      </c>
      <c r="D44" s="8" t="s">
        <v>11</v>
      </c>
      <c r="E44" s="8" t="s">
        <v>104</v>
      </c>
      <c r="F44" s="8" t="s">
        <v>29</v>
      </c>
      <c r="G44" s="10">
        <v>1314.78</v>
      </c>
      <c r="H44" s="10">
        <v>1371.75</v>
      </c>
      <c r="I44" s="20">
        <v>4.3330443115958586E-2</v>
      </c>
      <c r="J44" s="5"/>
    </row>
    <row r="45" spans="2:10" ht="20.149999999999999" customHeight="1" x14ac:dyDescent="0.35">
      <c r="B45" s="19" t="s">
        <v>105</v>
      </c>
      <c r="C45" s="12">
        <v>44770</v>
      </c>
      <c r="D45" s="11" t="s">
        <v>16</v>
      </c>
      <c r="E45" s="11" t="s">
        <v>106</v>
      </c>
      <c r="F45" s="11" t="s">
        <v>55</v>
      </c>
      <c r="G45" s="13">
        <v>972.81</v>
      </c>
      <c r="H45" s="13">
        <v>1139.75</v>
      </c>
      <c r="I45" s="21">
        <v>0.1716059662215644</v>
      </c>
      <c r="J45" s="5"/>
    </row>
    <row r="46" spans="2:10" ht="20.149999999999999" customHeight="1" x14ac:dyDescent="0.35">
      <c r="B46" s="18" t="s">
        <v>107</v>
      </c>
      <c r="C46" s="9">
        <v>44771</v>
      </c>
      <c r="D46" s="8" t="s">
        <v>11</v>
      </c>
      <c r="E46" s="8" t="s">
        <v>108</v>
      </c>
      <c r="F46" s="8" t="s">
        <v>26</v>
      </c>
      <c r="G46" s="10">
        <v>1551.16</v>
      </c>
      <c r="H46" s="10">
        <v>1721.25</v>
      </c>
      <c r="I46" s="20">
        <v>0.10965342066582423</v>
      </c>
      <c r="J46" s="5"/>
    </row>
    <row r="47" spans="2:10" ht="20.149999999999999" customHeight="1" x14ac:dyDescent="0.35">
      <c r="B47" s="19" t="s">
        <v>109</v>
      </c>
      <c r="C47" s="12">
        <v>44771</v>
      </c>
      <c r="D47" s="11" t="s">
        <v>16</v>
      </c>
      <c r="E47" s="11" t="s">
        <v>110</v>
      </c>
      <c r="F47" s="11" t="s">
        <v>13</v>
      </c>
      <c r="G47" s="13">
        <v>1366.59</v>
      </c>
      <c r="H47" s="13">
        <v>1418.5</v>
      </c>
      <c r="I47" s="21">
        <v>3.7985057698358748E-2</v>
      </c>
      <c r="J47" s="5"/>
    </row>
    <row r="48" spans="2:10" ht="20.149999999999999" customHeight="1" x14ac:dyDescent="0.35">
      <c r="B48" s="18" t="s">
        <v>111</v>
      </c>
      <c r="C48" s="9">
        <v>44774</v>
      </c>
      <c r="D48" s="8" t="s">
        <v>11</v>
      </c>
      <c r="E48" s="8" t="s">
        <v>112</v>
      </c>
      <c r="F48" s="8" t="s">
        <v>38</v>
      </c>
      <c r="G48" s="10">
        <v>1466.66</v>
      </c>
      <c r="H48" s="10">
        <v>1624.75</v>
      </c>
      <c r="I48" s="20">
        <v>0.10778912631421046</v>
      </c>
      <c r="J48" s="5"/>
    </row>
    <row r="49" spans="2:10" ht="20.149999999999999" customHeight="1" x14ac:dyDescent="0.35">
      <c r="B49" s="19" t="s">
        <v>113</v>
      </c>
      <c r="C49" s="12">
        <v>44774</v>
      </c>
      <c r="D49" s="11" t="s">
        <v>16</v>
      </c>
      <c r="E49" s="11" t="s">
        <v>114</v>
      </c>
      <c r="F49" s="11" t="s">
        <v>23</v>
      </c>
      <c r="G49" s="13">
        <v>1594.15</v>
      </c>
      <c r="H49" s="13">
        <v>1682.25</v>
      </c>
      <c r="I49" s="21">
        <v>5.5264561051343919E-2</v>
      </c>
      <c r="J49" s="5"/>
    </row>
    <row r="50" spans="2:10" ht="20.149999999999999" customHeight="1" x14ac:dyDescent="0.35">
      <c r="B50" s="18" t="s">
        <v>115</v>
      </c>
      <c r="C50" s="9">
        <v>44775</v>
      </c>
      <c r="D50" s="8" t="s">
        <v>11</v>
      </c>
      <c r="E50" s="8" t="s">
        <v>116</v>
      </c>
      <c r="F50" s="8" t="s">
        <v>51</v>
      </c>
      <c r="G50" s="10">
        <v>1580.98</v>
      </c>
      <c r="H50" s="10">
        <v>1679</v>
      </c>
      <c r="I50" s="20">
        <v>6.1999519285506448E-2</v>
      </c>
      <c r="J50" s="5"/>
    </row>
    <row r="51" spans="2:10" ht="20.149999999999999" customHeight="1" x14ac:dyDescent="0.35">
      <c r="B51" s="19" t="s">
        <v>117</v>
      </c>
      <c r="C51" s="12">
        <v>44775</v>
      </c>
      <c r="D51" s="11" t="s">
        <v>16</v>
      </c>
      <c r="E51" s="11" t="s">
        <v>118</v>
      </c>
      <c r="F51" s="11" t="s">
        <v>29</v>
      </c>
      <c r="G51" s="13">
        <v>916.97</v>
      </c>
      <c r="H51" s="13">
        <v>1025</v>
      </c>
      <c r="I51" s="21">
        <v>0.11781192405422203</v>
      </c>
      <c r="J51" s="5"/>
    </row>
    <row r="52" spans="2:10" ht="20.149999999999999" customHeight="1" x14ac:dyDescent="0.35">
      <c r="B52" s="18" t="s">
        <v>119</v>
      </c>
      <c r="C52" s="9">
        <v>44776</v>
      </c>
      <c r="D52" s="8" t="s">
        <v>11</v>
      </c>
      <c r="E52" s="8" t="s">
        <v>120</v>
      </c>
      <c r="F52" s="8" t="s">
        <v>13</v>
      </c>
      <c r="G52" s="10">
        <v>726.12</v>
      </c>
      <c r="H52" s="10">
        <v>838</v>
      </c>
      <c r="I52" s="20">
        <v>0.1540792155566573</v>
      </c>
      <c r="J52" s="5"/>
    </row>
    <row r="53" spans="2:10" ht="20.149999999999999" customHeight="1" x14ac:dyDescent="0.35">
      <c r="B53" s="19" t="s">
        <v>121</v>
      </c>
      <c r="C53" s="12">
        <v>44776</v>
      </c>
      <c r="D53" s="11" t="s">
        <v>16</v>
      </c>
      <c r="E53" s="11" t="s">
        <v>122</v>
      </c>
      <c r="F53" s="11" t="s">
        <v>55</v>
      </c>
      <c r="G53" s="13">
        <v>1461.44</v>
      </c>
      <c r="H53" s="13">
        <v>1599.5</v>
      </c>
      <c r="I53" s="21">
        <v>9.4468469454784279E-2</v>
      </c>
      <c r="J53" s="5"/>
    </row>
    <row r="54" spans="2:10" ht="20.149999999999999" customHeight="1" x14ac:dyDescent="0.35">
      <c r="B54" s="18" t="s">
        <v>123</v>
      </c>
      <c r="C54" s="9">
        <v>44777</v>
      </c>
      <c r="D54" s="8" t="s">
        <v>11</v>
      </c>
      <c r="E54" s="8" t="s">
        <v>124</v>
      </c>
      <c r="F54" s="8" t="s">
        <v>51</v>
      </c>
      <c r="G54" s="10">
        <v>1176.26</v>
      </c>
      <c r="H54" s="10">
        <v>1263.25</v>
      </c>
      <c r="I54" s="20">
        <v>7.3954737898083767E-2</v>
      </c>
      <c r="J54" s="5"/>
    </row>
    <row r="55" spans="2:10" ht="20.149999999999999" customHeight="1" x14ac:dyDescent="0.35">
      <c r="B55" s="19" t="s">
        <v>125</v>
      </c>
      <c r="C55" s="12">
        <v>44777</v>
      </c>
      <c r="D55" s="11" t="s">
        <v>16</v>
      </c>
      <c r="E55" s="11" t="s">
        <v>126</v>
      </c>
      <c r="F55" s="11" t="s">
        <v>127</v>
      </c>
      <c r="G55" s="13">
        <v>825.12</v>
      </c>
      <c r="H55" s="13">
        <v>1004</v>
      </c>
      <c r="I55" s="21">
        <v>0.2167927089393058</v>
      </c>
      <c r="J55" s="5"/>
    </row>
    <row r="56" spans="2:10" ht="20.149999999999999" customHeight="1" x14ac:dyDescent="0.35">
      <c r="B56" s="18" t="s">
        <v>128</v>
      </c>
      <c r="C56" s="9">
        <v>44778</v>
      </c>
      <c r="D56" s="8" t="s">
        <v>11</v>
      </c>
      <c r="E56" s="8" t="s">
        <v>129</v>
      </c>
      <c r="F56" s="8" t="s">
        <v>38</v>
      </c>
      <c r="G56" s="10">
        <v>1034.97</v>
      </c>
      <c r="H56" s="10">
        <v>1091</v>
      </c>
      <c r="I56" s="20">
        <v>5.413683488410289E-2</v>
      </c>
      <c r="J56" s="5"/>
    </row>
    <row r="57" spans="2:10" ht="20.149999999999999" customHeight="1" x14ac:dyDescent="0.35">
      <c r="B57" s="19" t="s">
        <v>130</v>
      </c>
      <c r="C57" s="12">
        <v>44778</v>
      </c>
      <c r="D57" s="11" t="s">
        <v>16</v>
      </c>
      <c r="E57" s="11" t="s">
        <v>131</v>
      </c>
      <c r="F57" s="11" t="s">
        <v>51</v>
      </c>
      <c r="G57" s="13">
        <v>939.94</v>
      </c>
      <c r="H57" s="13">
        <v>1045</v>
      </c>
      <c r="I57" s="21">
        <v>0.11177309189948288</v>
      </c>
      <c r="J57" s="5"/>
    </row>
    <row r="58" spans="2:10" ht="20.149999999999999" customHeight="1" x14ac:dyDescent="0.35">
      <c r="B58" s="18" t="s">
        <v>132</v>
      </c>
      <c r="C58" s="9">
        <v>44781</v>
      </c>
      <c r="D58" s="8" t="s">
        <v>11</v>
      </c>
      <c r="E58" s="8" t="s">
        <v>133</v>
      </c>
      <c r="F58" s="8" t="s">
        <v>51</v>
      </c>
      <c r="G58" s="10">
        <v>1429.63</v>
      </c>
      <c r="H58" s="10">
        <v>1570.75</v>
      </c>
      <c r="I58" s="20">
        <v>9.8710855256255031E-2</v>
      </c>
      <c r="J58" s="5"/>
    </row>
    <row r="59" spans="2:10" ht="20.149999999999999" customHeight="1" x14ac:dyDescent="0.35">
      <c r="B59" s="19" t="s">
        <v>134</v>
      </c>
      <c r="C59" s="12">
        <v>44781</v>
      </c>
      <c r="D59" s="11" t="s">
        <v>16</v>
      </c>
      <c r="E59" s="11" t="s">
        <v>135</v>
      </c>
      <c r="F59" s="11" t="s">
        <v>13</v>
      </c>
      <c r="G59" s="13">
        <v>1009.06</v>
      </c>
      <c r="H59" s="13">
        <v>1189</v>
      </c>
      <c r="I59" s="21">
        <v>0.17832438110716911</v>
      </c>
      <c r="J59" s="5"/>
    </row>
    <row r="60" spans="2:10" ht="20.149999999999999" customHeight="1" x14ac:dyDescent="0.35">
      <c r="B60" s="18" t="s">
        <v>136</v>
      </c>
      <c r="C60" s="9">
        <v>44782</v>
      </c>
      <c r="D60" s="8" t="s">
        <v>11</v>
      </c>
      <c r="E60" s="8" t="s">
        <v>137</v>
      </c>
      <c r="F60" s="8" t="s">
        <v>127</v>
      </c>
      <c r="G60" s="10">
        <v>974.45</v>
      </c>
      <c r="H60" s="10">
        <v>1152.5</v>
      </c>
      <c r="I60" s="20">
        <v>0.18271845656524188</v>
      </c>
      <c r="J60" s="5"/>
    </row>
    <row r="61" spans="2:10" ht="20.149999999999999" customHeight="1" x14ac:dyDescent="0.35">
      <c r="B61" s="19" t="s">
        <v>138</v>
      </c>
      <c r="C61" s="12">
        <v>44782</v>
      </c>
      <c r="D61" s="11" t="s">
        <v>16</v>
      </c>
      <c r="E61" s="11" t="s">
        <v>139</v>
      </c>
      <c r="F61" s="11" t="s">
        <v>13</v>
      </c>
      <c r="G61" s="13">
        <v>1511.87</v>
      </c>
      <c r="H61" s="13">
        <v>1688.75</v>
      </c>
      <c r="I61" s="21">
        <v>0.11699418600805633</v>
      </c>
      <c r="J61" s="5"/>
    </row>
    <row r="62" spans="2:10" ht="20.149999999999999" customHeight="1" x14ac:dyDescent="0.35">
      <c r="B62" s="18" t="s">
        <v>140</v>
      </c>
      <c r="C62" s="9">
        <v>44783</v>
      </c>
      <c r="D62" s="8" t="s">
        <v>11</v>
      </c>
      <c r="E62" s="8" t="s">
        <v>141</v>
      </c>
      <c r="F62" s="8" t="s">
        <v>13</v>
      </c>
      <c r="G62" s="10">
        <v>1103.76</v>
      </c>
      <c r="H62" s="10">
        <v>1256.75</v>
      </c>
      <c r="I62" s="20">
        <v>0.13860803073131842</v>
      </c>
      <c r="J62" s="5"/>
    </row>
    <row r="63" spans="2:10" ht="20.149999999999999" customHeight="1" x14ac:dyDescent="0.35">
      <c r="B63" s="19" t="s">
        <v>142</v>
      </c>
      <c r="C63" s="12">
        <v>44783</v>
      </c>
      <c r="D63" s="11" t="s">
        <v>16</v>
      </c>
      <c r="E63" s="11" t="s">
        <v>143</v>
      </c>
      <c r="F63" s="11" t="s">
        <v>29</v>
      </c>
      <c r="G63" s="13">
        <v>809.07</v>
      </c>
      <c r="H63" s="13">
        <v>930</v>
      </c>
      <c r="I63" s="21">
        <v>0.149467907597612</v>
      </c>
      <c r="J63" s="5"/>
    </row>
    <row r="64" spans="2:10" ht="20.149999999999999" customHeight="1" x14ac:dyDescent="0.35">
      <c r="B64" s="18" t="s">
        <v>144</v>
      </c>
      <c r="C64" s="9">
        <v>44784</v>
      </c>
      <c r="D64" s="8" t="s">
        <v>11</v>
      </c>
      <c r="E64" s="8" t="s">
        <v>145</v>
      </c>
      <c r="F64" s="8" t="s">
        <v>55</v>
      </c>
      <c r="G64" s="10">
        <v>1438.4</v>
      </c>
      <c r="H64" s="10">
        <v>1560.5</v>
      </c>
      <c r="I64" s="20">
        <v>8.4885984427141195E-2</v>
      </c>
      <c r="J64" s="5"/>
    </row>
    <row r="65" spans="2:10" ht="20.149999999999999" customHeight="1" x14ac:dyDescent="0.35">
      <c r="B65" s="19" t="s">
        <v>146</v>
      </c>
      <c r="C65" s="12">
        <v>44784</v>
      </c>
      <c r="D65" s="11" t="s">
        <v>16</v>
      </c>
      <c r="E65" s="11" t="s">
        <v>147</v>
      </c>
      <c r="F65" s="11" t="s">
        <v>18</v>
      </c>
      <c r="G65" s="13">
        <v>1472.96</v>
      </c>
      <c r="H65" s="13">
        <v>1637</v>
      </c>
      <c r="I65" s="21">
        <v>0.11136758635672385</v>
      </c>
      <c r="J65" s="5"/>
    </row>
    <row r="66" spans="2:10" ht="20.149999999999999" customHeight="1" x14ac:dyDescent="0.35">
      <c r="B66" s="18" t="s">
        <v>148</v>
      </c>
      <c r="C66" s="9">
        <v>44785</v>
      </c>
      <c r="D66" s="8" t="s">
        <v>11</v>
      </c>
      <c r="E66" s="8" t="s">
        <v>149</v>
      </c>
      <c r="F66" s="8" t="s">
        <v>38</v>
      </c>
      <c r="G66" s="10">
        <v>1556.29</v>
      </c>
      <c r="H66" s="10">
        <v>1742.25</v>
      </c>
      <c r="I66" s="20">
        <v>0.11948929826703251</v>
      </c>
      <c r="J66" s="5"/>
    </row>
    <row r="67" spans="2:10" ht="20.149999999999999" customHeight="1" x14ac:dyDescent="0.35">
      <c r="B67" s="19" t="s">
        <v>150</v>
      </c>
      <c r="C67" s="12">
        <v>44785</v>
      </c>
      <c r="D67" s="11" t="s">
        <v>16</v>
      </c>
      <c r="E67" s="11" t="s">
        <v>151</v>
      </c>
      <c r="F67" s="11" t="s">
        <v>41</v>
      </c>
      <c r="G67" s="13">
        <v>960.13</v>
      </c>
      <c r="H67" s="13">
        <v>1088.25</v>
      </c>
      <c r="I67" s="21">
        <v>0.13344026329767844</v>
      </c>
      <c r="J67" s="5"/>
    </row>
    <row r="68" spans="2:10" ht="20.149999999999999" customHeight="1" x14ac:dyDescent="0.35">
      <c r="B68" s="18" t="s">
        <v>152</v>
      </c>
      <c r="C68" s="9">
        <v>44788</v>
      </c>
      <c r="D68" s="8" t="s">
        <v>11</v>
      </c>
      <c r="E68" s="8" t="s">
        <v>153</v>
      </c>
      <c r="F68" s="8" t="s">
        <v>23</v>
      </c>
      <c r="G68" s="10">
        <v>1520.43</v>
      </c>
      <c r="H68" s="10">
        <v>1594.5</v>
      </c>
      <c r="I68" s="20">
        <v>4.8716481521674744E-2</v>
      </c>
      <c r="J68" s="5"/>
    </row>
    <row r="69" spans="2:10" ht="20.149999999999999" customHeight="1" x14ac:dyDescent="0.35">
      <c r="B69" s="19" t="s">
        <v>154</v>
      </c>
      <c r="C69" s="12">
        <v>44788</v>
      </c>
      <c r="D69" s="11" t="s">
        <v>16</v>
      </c>
      <c r="E69" s="11" t="s">
        <v>155</v>
      </c>
      <c r="F69" s="11" t="s">
        <v>18</v>
      </c>
      <c r="G69" s="13">
        <v>1195.05</v>
      </c>
      <c r="H69" s="13">
        <v>1263</v>
      </c>
      <c r="I69" s="21">
        <v>5.6859545625706075E-2</v>
      </c>
      <c r="J69" s="5"/>
    </row>
    <row r="70" spans="2:10" ht="20.149999999999999" customHeight="1" x14ac:dyDescent="0.35">
      <c r="B70" s="18" t="s">
        <v>156</v>
      </c>
      <c r="C70" s="9">
        <v>44789</v>
      </c>
      <c r="D70" s="8" t="s">
        <v>11</v>
      </c>
      <c r="E70" s="8" t="s">
        <v>157</v>
      </c>
      <c r="F70" s="8" t="s">
        <v>51</v>
      </c>
      <c r="G70" s="10">
        <v>1357.83</v>
      </c>
      <c r="H70" s="10">
        <v>1518.75</v>
      </c>
      <c r="I70" s="20">
        <v>0.11851262676476443</v>
      </c>
      <c r="J70" s="5"/>
    </row>
    <row r="71" spans="2:10" ht="20.149999999999999" customHeight="1" x14ac:dyDescent="0.35">
      <c r="B71" s="19" t="s">
        <v>158</v>
      </c>
      <c r="C71" s="12">
        <v>44789</v>
      </c>
      <c r="D71" s="11" t="s">
        <v>16</v>
      </c>
      <c r="E71" s="11" t="s">
        <v>159</v>
      </c>
      <c r="F71" s="11" t="s">
        <v>55</v>
      </c>
      <c r="G71" s="13">
        <v>1440.38</v>
      </c>
      <c r="H71" s="13">
        <v>1498.5</v>
      </c>
      <c r="I71" s="21">
        <v>4.0350463072244748E-2</v>
      </c>
      <c r="J71" s="5"/>
    </row>
    <row r="72" spans="2:10" ht="20.149999999999999" customHeight="1" x14ac:dyDescent="0.35">
      <c r="B72" s="18" t="s">
        <v>160</v>
      </c>
      <c r="C72" s="9">
        <v>44790</v>
      </c>
      <c r="D72" s="8" t="s">
        <v>11</v>
      </c>
      <c r="E72" s="8" t="s">
        <v>161</v>
      </c>
      <c r="F72" s="8" t="s">
        <v>13</v>
      </c>
      <c r="G72" s="10">
        <v>801.34</v>
      </c>
      <c r="H72" s="10">
        <v>913.25</v>
      </c>
      <c r="I72" s="20">
        <v>0.13965358025307606</v>
      </c>
      <c r="J72" s="5"/>
    </row>
    <row r="73" spans="2:10" ht="20.149999999999999" customHeight="1" x14ac:dyDescent="0.35">
      <c r="B73" s="19" t="s">
        <v>162</v>
      </c>
      <c r="C73" s="12">
        <v>44790</v>
      </c>
      <c r="D73" s="11" t="s">
        <v>16</v>
      </c>
      <c r="E73" s="11" t="s">
        <v>163</v>
      </c>
      <c r="F73" s="11" t="s">
        <v>18</v>
      </c>
      <c r="G73" s="13">
        <v>1001.99</v>
      </c>
      <c r="H73" s="13">
        <v>1097</v>
      </c>
      <c r="I73" s="21">
        <v>9.4821305601852299E-2</v>
      </c>
      <c r="J73" s="5"/>
    </row>
    <row r="74" spans="2:10" ht="20.149999999999999" customHeight="1" x14ac:dyDescent="0.35">
      <c r="B74" s="18" t="s">
        <v>164</v>
      </c>
      <c r="C74" s="9">
        <v>44791</v>
      </c>
      <c r="D74" s="8" t="s">
        <v>11</v>
      </c>
      <c r="E74" s="8" t="s">
        <v>165</v>
      </c>
      <c r="F74" s="8" t="s">
        <v>13</v>
      </c>
      <c r="G74" s="10">
        <v>1121.8599999999999</v>
      </c>
      <c r="H74" s="10">
        <v>1191.75</v>
      </c>
      <c r="I74" s="20">
        <v>6.2298325994330939E-2</v>
      </c>
      <c r="J74" s="5"/>
    </row>
    <row r="75" spans="2:10" ht="20.149999999999999" customHeight="1" x14ac:dyDescent="0.35">
      <c r="B75" s="19" t="s">
        <v>166</v>
      </c>
      <c r="C75" s="12">
        <v>44791</v>
      </c>
      <c r="D75" s="11" t="s">
        <v>16</v>
      </c>
      <c r="E75" s="11" t="s">
        <v>167</v>
      </c>
      <c r="F75" s="11" t="s">
        <v>55</v>
      </c>
      <c r="G75" s="13">
        <v>776.22</v>
      </c>
      <c r="H75" s="13">
        <v>961.25</v>
      </c>
      <c r="I75" s="21">
        <v>0.2383731416351034</v>
      </c>
      <c r="J75" s="5"/>
    </row>
    <row r="76" spans="2:10" ht="20.149999999999999" customHeight="1" x14ac:dyDescent="0.35">
      <c r="B76" s="18" t="s">
        <v>168</v>
      </c>
      <c r="C76" s="9">
        <v>44792</v>
      </c>
      <c r="D76" s="8" t="s">
        <v>11</v>
      </c>
      <c r="E76" s="8" t="s">
        <v>169</v>
      </c>
      <c r="F76" s="8" t="s">
        <v>127</v>
      </c>
      <c r="G76" s="10">
        <v>779.66</v>
      </c>
      <c r="H76" s="10">
        <v>900.75</v>
      </c>
      <c r="I76" s="20">
        <v>0.15531128953646467</v>
      </c>
      <c r="J76" s="5"/>
    </row>
    <row r="77" spans="2:10" ht="20.149999999999999" customHeight="1" x14ac:dyDescent="0.35">
      <c r="B77" s="19" t="s">
        <v>170</v>
      </c>
      <c r="C77" s="12">
        <v>44792</v>
      </c>
      <c r="D77" s="11" t="s">
        <v>16</v>
      </c>
      <c r="E77" s="11" t="s">
        <v>171</v>
      </c>
      <c r="F77" s="11" t="s">
        <v>29</v>
      </c>
      <c r="G77" s="13">
        <v>850.14</v>
      </c>
      <c r="H77" s="13">
        <v>932.25</v>
      </c>
      <c r="I77" s="21">
        <v>9.6584092031900645E-2</v>
      </c>
      <c r="J77" s="5"/>
    </row>
    <row r="78" spans="2:10" ht="20.149999999999999" customHeight="1" x14ac:dyDescent="0.35">
      <c r="B78" s="18" t="s">
        <v>172</v>
      </c>
      <c r="C78" s="9">
        <v>44795</v>
      </c>
      <c r="D78" s="8" t="s">
        <v>11</v>
      </c>
      <c r="E78" s="8" t="s">
        <v>173</v>
      </c>
      <c r="F78" s="8" t="s">
        <v>18</v>
      </c>
      <c r="G78" s="10">
        <v>896.25</v>
      </c>
      <c r="H78" s="10">
        <v>1008.25</v>
      </c>
      <c r="I78" s="20">
        <v>0.12496513249651325</v>
      </c>
      <c r="J78" s="5"/>
    </row>
    <row r="79" spans="2:10" ht="20.149999999999999" customHeight="1" x14ac:dyDescent="0.35">
      <c r="B79" s="19" t="s">
        <v>174</v>
      </c>
      <c r="C79" s="12">
        <v>44795</v>
      </c>
      <c r="D79" s="11" t="s">
        <v>16</v>
      </c>
      <c r="E79" s="11" t="s">
        <v>175</v>
      </c>
      <c r="F79" s="11" t="s">
        <v>13</v>
      </c>
      <c r="G79" s="13">
        <v>1051</v>
      </c>
      <c r="H79" s="13">
        <v>1133</v>
      </c>
      <c r="I79" s="21">
        <v>7.8020932445290195E-2</v>
      </c>
      <c r="J79" s="5"/>
    </row>
    <row r="80" spans="2:10" ht="20.149999999999999" customHeight="1" x14ac:dyDescent="0.35">
      <c r="B80" s="18" t="s">
        <v>176</v>
      </c>
      <c r="C80" s="9">
        <v>44796</v>
      </c>
      <c r="D80" s="8" t="s">
        <v>11</v>
      </c>
      <c r="E80" s="8" t="s">
        <v>177</v>
      </c>
      <c r="F80" s="8" t="s">
        <v>38</v>
      </c>
      <c r="G80" s="10">
        <v>1385.5</v>
      </c>
      <c r="H80" s="10">
        <v>1504.5</v>
      </c>
      <c r="I80" s="20">
        <v>8.5889570552147243E-2</v>
      </c>
      <c r="J80" s="5"/>
    </row>
    <row r="81" spans="2:10" ht="20.149999999999999" customHeight="1" x14ac:dyDescent="0.35">
      <c r="B81" s="19" t="s">
        <v>178</v>
      </c>
      <c r="C81" s="12">
        <v>44796</v>
      </c>
      <c r="D81" s="11" t="s">
        <v>16</v>
      </c>
      <c r="E81" s="11" t="s">
        <v>179</v>
      </c>
      <c r="F81" s="11" t="s">
        <v>38</v>
      </c>
      <c r="G81" s="13">
        <v>1075.76</v>
      </c>
      <c r="H81" s="13">
        <v>1262.75</v>
      </c>
      <c r="I81" s="21">
        <v>0.17382129843087679</v>
      </c>
      <c r="J81" s="5"/>
    </row>
    <row r="82" spans="2:10" ht="20.149999999999999" customHeight="1" x14ac:dyDescent="0.35">
      <c r="B82" s="18" t="s">
        <v>180</v>
      </c>
      <c r="C82" s="9">
        <v>44797</v>
      </c>
      <c r="D82" s="8" t="s">
        <v>11</v>
      </c>
      <c r="E82" s="8" t="s">
        <v>181</v>
      </c>
      <c r="F82" s="8" t="s">
        <v>29</v>
      </c>
      <c r="G82" s="10">
        <v>896.05</v>
      </c>
      <c r="H82" s="10">
        <v>957</v>
      </c>
      <c r="I82" s="20">
        <v>6.8020757770213769E-2</v>
      </c>
      <c r="J82" s="5"/>
    </row>
    <row r="83" spans="2:10" ht="20.149999999999999" customHeight="1" x14ac:dyDescent="0.35">
      <c r="B83" s="19" t="s">
        <v>182</v>
      </c>
      <c r="C83" s="12">
        <v>44797</v>
      </c>
      <c r="D83" s="11" t="s">
        <v>16</v>
      </c>
      <c r="E83" s="11" t="s">
        <v>183</v>
      </c>
      <c r="F83" s="11" t="s">
        <v>18</v>
      </c>
      <c r="G83" s="13">
        <v>843.34</v>
      </c>
      <c r="H83" s="13">
        <v>1039.25</v>
      </c>
      <c r="I83" s="21">
        <v>0.23230251144259725</v>
      </c>
      <c r="J83" s="5"/>
    </row>
    <row r="84" spans="2:10" ht="20.149999999999999" customHeight="1" x14ac:dyDescent="0.35">
      <c r="B84" s="18" t="s">
        <v>184</v>
      </c>
      <c r="C84" s="9">
        <v>44798</v>
      </c>
      <c r="D84" s="8" t="s">
        <v>11</v>
      </c>
      <c r="E84" s="8" t="s">
        <v>185</v>
      </c>
      <c r="F84" s="8" t="s">
        <v>13</v>
      </c>
      <c r="G84" s="10">
        <v>1211.6600000000001</v>
      </c>
      <c r="H84" s="10">
        <v>1325.75</v>
      </c>
      <c r="I84" s="20">
        <v>9.4160077909644549E-2</v>
      </c>
      <c r="J84" s="5"/>
    </row>
    <row r="85" spans="2:10" ht="20.149999999999999" customHeight="1" x14ac:dyDescent="0.35">
      <c r="B85" s="19" t="s">
        <v>186</v>
      </c>
      <c r="C85" s="12">
        <v>44798</v>
      </c>
      <c r="D85" s="11" t="s">
        <v>16</v>
      </c>
      <c r="E85" s="11" t="s">
        <v>187</v>
      </c>
      <c r="F85" s="11" t="s">
        <v>51</v>
      </c>
      <c r="G85" s="13">
        <v>1357.2</v>
      </c>
      <c r="H85" s="13">
        <v>1463.25</v>
      </c>
      <c r="I85" s="21">
        <v>7.8138815207780696E-2</v>
      </c>
      <c r="J85" s="5"/>
    </row>
    <row r="86" spans="2:10" ht="20.149999999999999" customHeight="1" x14ac:dyDescent="0.35">
      <c r="B86" s="18" t="s">
        <v>188</v>
      </c>
      <c r="C86" s="9">
        <v>44799</v>
      </c>
      <c r="D86" s="8" t="s">
        <v>11</v>
      </c>
      <c r="E86" s="8" t="s">
        <v>189</v>
      </c>
      <c r="F86" s="8" t="s">
        <v>51</v>
      </c>
      <c r="G86" s="10">
        <v>940.87</v>
      </c>
      <c r="H86" s="10">
        <v>1027.75</v>
      </c>
      <c r="I86" s="20">
        <v>9.2340068234718922E-2</v>
      </c>
      <c r="J86" s="5"/>
    </row>
    <row r="87" spans="2:10" ht="20.149999999999999" customHeight="1" x14ac:dyDescent="0.35">
      <c r="B87" s="19" t="s">
        <v>190</v>
      </c>
      <c r="C87" s="12">
        <v>44799</v>
      </c>
      <c r="D87" s="11" t="s">
        <v>16</v>
      </c>
      <c r="E87" s="11" t="s">
        <v>191</v>
      </c>
      <c r="F87" s="11" t="s">
        <v>127</v>
      </c>
      <c r="G87" s="13">
        <v>1274.05</v>
      </c>
      <c r="H87" s="13">
        <v>1455</v>
      </c>
      <c r="I87" s="21">
        <v>0.14202739295946004</v>
      </c>
      <c r="J87" s="5"/>
    </row>
    <row r="88" spans="2:10" ht="20.149999999999999" customHeight="1" x14ac:dyDescent="0.35">
      <c r="B88" s="18" t="s">
        <v>192</v>
      </c>
      <c r="C88" s="9">
        <v>44802</v>
      </c>
      <c r="D88" s="8" t="s">
        <v>11</v>
      </c>
      <c r="E88" s="8" t="s">
        <v>193</v>
      </c>
      <c r="F88" s="8" t="s">
        <v>29</v>
      </c>
      <c r="G88" s="10">
        <v>1179.06</v>
      </c>
      <c r="H88" s="10">
        <v>1376</v>
      </c>
      <c r="I88" s="20">
        <v>0.16703136396790669</v>
      </c>
      <c r="J88" s="5"/>
    </row>
    <row r="89" spans="2:10" ht="20.149999999999999" customHeight="1" x14ac:dyDescent="0.35">
      <c r="B89" s="19" t="s">
        <v>194</v>
      </c>
      <c r="C89" s="12">
        <v>44802</v>
      </c>
      <c r="D89" s="11" t="s">
        <v>16</v>
      </c>
      <c r="E89" s="11" t="s">
        <v>195</v>
      </c>
      <c r="F89" s="11" t="s">
        <v>26</v>
      </c>
      <c r="G89" s="13">
        <v>774.2</v>
      </c>
      <c r="H89" s="13">
        <v>946.25</v>
      </c>
      <c r="I89" s="21">
        <v>0.22222939808834918</v>
      </c>
      <c r="J89" s="5"/>
    </row>
    <row r="90" spans="2:10" ht="20.149999999999999" customHeight="1" x14ac:dyDescent="0.35">
      <c r="B90" s="18" t="s">
        <v>196</v>
      </c>
      <c r="C90" s="9">
        <v>44803</v>
      </c>
      <c r="D90" s="8" t="s">
        <v>11</v>
      </c>
      <c r="E90" s="8" t="s">
        <v>197</v>
      </c>
      <c r="F90" s="8" t="s">
        <v>41</v>
      </c>
      <c r="G90" s="10">
        <v>1350.48</v>
      </c>
      <c r="H90" s="10">
        <v>1509.5</v>
      </c>
      <c r="I90" s="20">
        <v>0.11775072566791066</v>
      </c>
      <c r="J90" s="5"/>
    </row>
    <row r="91" spans="2:10" ht="20.149999999999999" customHeight="1" x14ac:dyDescent="0.35">
      <c r="B91" s="19" t="s">
        <v>198</v>
      </c>
      <c r="C91" s="12">
        <v>44803</v>
      </c>
      <c r="D91" s="11" t="s">
        <v>16</v>
      </c>
      <c r="E91" s="11" t="s">
        <v>199</v>
      </c>
      <c r="F91" s="11" t="s">
        <v>23</v>
      </c>
      <c r="G91" s="13">
        <v>1053.3699999999999</v>
      </c>
      <c r="H91" s="13">
        <v>1136.25</v>
      </c>
      <c r="I91" s="21">
        <v>7.8680805415001484E-2</v>
      </c>
      <c r="J91" s="5"/>
    </row>
    <row r="92" spans="2:10" ht="20.149999999999999" customHeight="1" x14ac:dyDescent="0.35">
      <c r="B92" s="18" t="s">
        <v>200</v>
      </c>
      <c r="C92" s="9">
        <v>44804</v>
      </c>
      <c r="D92" s="8" t="s">
        <v>11</v>
      </c>
      <c r="E92" s="8" t="s">
        <v>201</v>
      </c>
      <c r="F92" s="8" t="s">
        <v>13</v>
      </c>
      <c r="G92" s="10">
        <v>1161.92</v>
      </c>
      <c r="H92" s="10">
        <v>1237</v>
      </c>
      <c r="I92" s="20">
        <v>6.4617185348388811E-2</v>
      </c>
      <c r="J92" s="5"/>
    </row>
    <row r="93" spans="2:10" ht="20.149999999999999" customHeight="1" x14ac:dyDescent="0.35">
      <c r="B93" s="22" t="s">
        <v>202</v>
      </c>
      <c r="C93" s="23">
        <v>44804</v>
      </c>
      <c r="D93" s="24" t="s">
        <v>16</v>
      </c>
      <c r="E93" s="24" t="s">
        <v>203</v>
      </c>
      <c r="F93" s="24" t="s">
        <v>51</v>
      </c>
      <c r="G93" s="25">
        <v>951.93</v>
      </c>
      <c r="H93" s="25">
        <v>1136</v>
      </c>
      <c r="I93" s="26">
        <v>0.19336505835513121</v>
      </c>
      <c r="J93" s="5"/>
    </row>
  </sheetData>
  <mergeCells count="1">
    <mergeCell ref="B2:I2"/>
  </mergeCells>
  <pageMargins left="0.7" right="0.7" top="0.78740157499999996" bottom="0.78740157499999996" header="0.3" footer="0.3"/>
  <pageSetup paperSize="9" orientation="portrait" r:id="rId1"/>
  <drawing r:id="rId2"/>
  <legacy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Aufgaben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Dionysios Kladis</dc:creator>
  <cp:lastModifiedBy>Michajlo Solod</cp:lastModifiedBy>
  <dcterms:created xsi:type="dcterms:W3CDTF">2026-05-27T14:22:47Z</dcterms:created>
  <dcterms:modified xsi:type="dcterms:W3CDTF">2026-10-18T21:46:39Z</dcterms:modified>
</cp:coreProperties>
</file>