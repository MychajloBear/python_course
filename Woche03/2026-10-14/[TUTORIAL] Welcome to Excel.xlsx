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codeName="ThisWorkbook" autoCompressPictures="0"/>
  <xr:revisionPtr revIDLastSave="0" documentId="8_{ACBBFF71-29C3-4E42-8D90-8F3F5E44B449}" xr6:coauthVersionLast="47" xr6:coauthVersionMax="47" xr10:uidLastSave="{00000000-0000-0000-0000-000000000000}"/>
  <bookViews>
    <workbookView xWindow="-120" yWindow="-16320" windowWidth="29040" windowHeight="15720" activeTab="1" xr2:uid="{00000000-000D-0000-FFFF-FFFF00000000}"/>
  </bookViews>
  <sheets>
    <sheet name="Starten" sheetId="28" r:id="rId1"/>
    <sheet name="1. Hinzufügen" sheetId="21" r:id="rId2"/>
    <sheet name="2. Ausfüllen" sheetId="23" r:id="rId3"/>
    <sheet name="3. Teilen" sheetId="24" r:id="rId4"/>
    <sheet name="4. Transponieren" sheetId="25" r:id="rId5"/>
    <sheet name="5. Sortieren und Filtern" sheetId="32" r:id="rId6"/>
    <sheet name="6. Tabellen" sheetId="26" r:id="rId7"/>
    <sheet name="7. Dropdownlisten" sheetId="27" r:id="rId8"/>
    <sheet name="8. Analysieren" sheetId="33" r:id="rId9"/>
    <sheet name="9. Diagramme" sheetId="34" r:id="rId10"/>
    <sheet name="10. PivotTables" sheetId="35" r:id="rId11"/>
    <sheet name="Weitere Informationen" sheetId="36" r:id="rId12"/>
  </sheets>
  <definedNames>
    <definedName name="_xlnm._FilterDatabase" localSheetId="5" hidden="1">'5. Sortieren und Filtern'!$C$5:$G$13</definedName>
    <definedName name="Artikel">'1. Hinzufügen'!$C$10:$D$15</definedName>
    <definedName name="BonusAufgabe">'1. Hinzufügen'!$F$10:$G$15</definedName>
    <definedName name="Fleisch">'1. Hinzufügen'!$F$3:$G$7</definedName>
    <definedName name="Gesamtsumme">'1. Hinzufügen'!$E$53:$E$54</definedName>
    <definedName name="MehrArtikel">'1. Hinzufügen'!$F$47:$G$51</definedName>
    <definedName name="MehrArtikel1">'1. Hinzufügen'!$C$47:$D$51</definedName>
    <definedName name="MehrObst">'1. Hinzufügen'!$C$37:$D$41</definedName>
    <definedName name="Obst">'1. Hinzufügen'!$C$3:$D$7</definedName>
    <definedName name="SUMMEExtraGuthaben">'1. Hinzufügen'!$F$10:$G$15</definedName>
    <definedName name="SUMMEWENN">'1. Hinzufügen'!$C$72:$D$77</definedName>
    <definedName name="SUMMEWENNBonusAufgabe">'1. Hinzufügen'!$F$72:$G$77</definedName>
  </definedNames>
  <calcPr calcId="191029"/>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<sst xmlns="http://schemas.openxmlformats.org/spreadsheetml/2006/main" count="668" uniqueCount="380">
  <si>
    <t>Willkommen bei der Tour. 
Anweisungen für die Sprachausgabe: In nur 10 Schritten machen wir Sie mit Excel vertraut, der beliebtesten Tabellenkalkulationsanwendung weltweit. 
Diese Tour enthält 11 weitere Blätter. Die Anweisungen für jedes Blatt beginnen in Zelle A1, und jeder nachfolgende Schritt befindet sich in Zelle A2, A3 usw. 
Aus den Anweisungen erfahren Sie, zu welchen Zellen Sie navigieren müssen, um ein Feature zu verwenden oder mit dem Lesen fortzufahren.
Drücken Sie STRG+NACH-UNTEN-TASTE, um anzufangen.</t>
  </si>
  <si>
    <t>Eine Tour unternehmen</t>
  </si>
  <si>
    <t>Sie gelangen wieder zum Anfang, wenn Sie STRG+POS1 drücken. Zum Starten der Tour drücken Sie STRG+NACH-UNTEN-TASTE.</t>
  </si>
  <si>
    <t>Addieren Sie Zahlen wie ein Meister</t>
  </si>
  <si>
    <t>Dies sind einige Verfahren zum Addieren von Zahlen in Excel:</t>
  </si>
  <si>
    <t xml:space="preserve">Die Zellen C3 bis D7 enthalten Daten in zwei Spalten. Eine für Obst, eine für den Betrag. </t>
  </si>
  <si>
    <t>Navigieren Sie zu D8, indem Sie STRG+G drücken, D8 eingeben und dann die EINGABETASTE drücken.</t>
  </si>
  <si>
    <t xml:space="preserve">Das Ergebnis ist 170. </t>
  </si>
  <si>
    <t>Dies ist eine andere Möglichkeit zum Addieren, unter Verwendung einer Tastenkombination. Die Zellen F3 bis G7 enthalten Daten in zwei Spalten: Fleischwaren und Betrag.</t>
  </si>
  <si>
    <t>Navigieren Sie zu Zelle G8. Drücken Sie ALT+=, und drücken Sie dann die EINGABETASTE.</t>
  </si>
  <si>
    <t>Das Ergebnis in Zelle G8 ist 140.</t>
  </si>
  <si>
    <t>Und hier ist ein weiteres Verfahren zum Addieren. Die Zellen C10 bis D15 enthalten zwei Spalten mit Daten: Artikel und Betrag.</t>
  </si>
  <si>
    <t>Tiefer einsteigen und mehr Details erfahren: Navigieren Sie zu A27. Oder drücken Sie STRG+NACH-UNTEN-TASTE, um mit dem nächsten Schritt fortzufahren.</t>
  </si>
  <si>
    <t xml:space="preserve">Die Zellen C37 bis D41 enthalten Daten in zwei Spalten. Obst und Betrag. </t>
  </si>
  <si>
    <t>Und dies ist eine weitere Möglichkeit der Verwendung:</t>
  </si>
  <si>
    <t xml:space="preserve">Die Zellen C47 bis D48 enthalten Daten in zwei Spalten. Artikel und Betrag. </t>
  </si>
  <si>
    <t xml:space="preserve">Die Zellen F47 bis G51 enthalten Daten in zwei Spalten. Artikel und Betrag. </t>
  </si>
  <si>
    <t>Die Zellen E53 bis E54 enthalten Daten in zwei Spalten. Gesamt.</t>
  </si>
  <si>
    <t>Wenn die Formel in Zelle E54 sprechen könnte, würde sie sagen: Folgendes addieren: den Wert in Zelle D48, die Werte in den Zellen G48, G49, G50 und G51 und 100.</t>
  </si>
  <si>
    <t>Die Formel in Zelle E54 verwendet Folgendes:</t>
  </si>
  <si>
    <t xml:space="preserve">• Einen Bezug auf eine einzelne Zelle, der die Adresse oder den "Namen" einer Zelle darstellt. D48 ist der Bezug auf eine einzelne Zelle in der Formel oben. </t>
  </si>
  <si>
    <t xml:space="preserve">• Einen Bereich von Zellen, das ist eine Reihe von Zellen, die mit einer Zelle beginnt und mit einer anderen endet. G48:G51 ist der Zellbereich in der Formel. </t>
  </si>
  <si>
    <t xml:space="preserve">• Eine Konstante, in diesem Fall die Zahl 100. </t>
  </si>
  <si>
    <t xml:space="preserve">WICHTIGES DETAIL: Navigieren Sie zu Zelle E54. Ihnen wird die 100 nahe dem Ende der Formel aufgefallen sein. Es ist zwar möglich, Zahlen in dieser Weise in eine Formel einzusetzen, wir empfehlen es aber nur, wenn es absolut erforderlich ist. Eine solche Zahl wird als Konstante bezeichnet, und nur zu leicht vergisst man, dass sie da ist. Wir empfehlen, stattdessen auf eine weitere Zelle zu verweisen. z.B. Zelle D16. Auf diese Weise ist die Konstante sichtbar und nicht im Innern einer Formel verborgen. </t>
  </si>
  <si>
    <t>Navigieren Sie zu Zelle A66, um die nächste Anweisung zu erhalten.</t>
  </si>
  <si>
    <t xml:space="preserve">Die Zellen C72 bis D77 enthalten Daten in zwei Spalten. Artikel und Betrag. </t>
  </si>
  <si>
    <t xml:space="preserve">Die Zellen F72 bis G77 enthalten Daten in zwei Spalten. Artikel und Betrag. </t>
  </si>
  <si>
    <t>Weitere Informationen im Web</t>
  </si>
  <si>
    <t>Verwenden von Excel als Taschenrechner</t>
  </si>
  <si>
    <t>Kostenlose Excel-Schulung online</t>
  </si>
  <si>
    <t>Sie gelangen wieder zum Anfang, wenn Sie STRG+POS1 drücken. Drücken Sie STRG+NACH-UNTEN-TASTE, um mit dem nächsten Schritt fortzufahren.</t>
  </si>
  <si>
    <t>Obst</t>
  </si>
  <si>
    <t>Äpfel</t>
  </si>
  <si>
    <t>Orangen</t>
  </si>
  <si>
    <t>Bananen</t>
  </si>
  <si>
    <t>Zitronen</t>
  </si>
  <si>
    <t>Artikel</t>
  </si>
  <si>
    <t>Brot</t>
  </si>
  <si>
    <t>Donuts</t>
  </si>
  <si>
    <t>Kekse</t>
  </si>
  <si>
    <t>Kuchen</t>
  </si>
  <si>
    <t>Torten</t>
  </si>
  <si>
    <t>Tabelle</t>
  </si>
  <si>
    <t>Betrag</t>
  </si>
  <si>
    <t>Fleischwaren</t>
  </si>
  <si>
    <t>Rindfleisch</t>
  </si>
  <si>
    <t>Huhn</t>
  </si>
  <si>
    <t>Schwein</t>
  </si>
  <si>
    <t>Fisch</t>
  </si>
  <si>
    <t>PKW</t>
  </si>
  <si>
    <t>LKW</t>
  </si>
  <si>
    <t>Fahrräder</t>
  </si>
  <si>
    <t>Rollschuhe</t>
  </si>
  <si>
    <t>Sparen Sie Zeit, indem Sie Zellen automatisch ausfüllen</t>
  </si>
  <si>
    <t>So verwenden Sie das Feature "Füllbereich" in Excel:</t>
  </si>
  <si>
    <t xml:space="preserve">Navigieren Sie zu Zelle E4. Drücken Sie STRG+G, geben Sie E4 ein, und drücken Sie die EINGABETASTE. </t>
  </si>
  <si>
    <t>BONUSAUFGABE: Navigieren Sie zu Zelle G4, und wiederholen Sie die oben angegebenen Schritte zum Ausfüllen nach unten.</t>
  </si>
  <si>
    <t>Die Zellen C10 bis G14 enthalten Daten in fünf Spalten. Diese Spalten enthalten die Überschriften von C3 bis G3 und die Werte aus den Zellen C4 bis G7 nach dem Ausführen der in den Zellen A5 und A6 beschriebenen Schritte.</t>
  </si>
  <si>
    <t>Navigieren Sie zu Zelle C15. Wählen Sie die Zellen C15, D15, E15, F15 und G15 aus. Drücken Sie in diesem Fall STRG+R, um die Zellen zu füllen. Dies wird als "Nach Rechts ausfüllen" bezeichnet.</t>
  </si>
  <si>
    <t>Tiefer einsteigen und mehr Details erfahren: Navigieren Sie zu Zelle A27. Oder drücken Sie STRG+NACH-UNTEN-TASTE, um mit dem nächsten Schritt fortzufahren.</t>
  </si>
  <si>
    <t>Verwenden Sie das Ausfüllkästchen zum Kopieren der Zellen</t>
  </si>
  <si>
    <t>Manchmal sollen sich die Zahlen beim Ausfüllen nicht ändern. Stattdessen möchten Sie einfach nur Werte in andere, angrenzende Zellen kopieren. Das erreichen Sie so:</t>
  </si>
  <si>
    <t xml:space="preserve">Die Zellen C33 bis F37 enthalten vier Spalten: Abteilung, Kategorie, Produkt und Anzahl. </t>
  </si>
  <si>
    <t>Navigieren Sie zu Zelle C34. Wählen Sie C34, C35, C36 und C37 aus, und drücken Sie STRG+D. Der Wert in Zelle C34 wird abwärts in die ausgewählten Zellen eingesetzt.</t>
  </si>
  <si>
    <t>Automatisches Ausfüllen von Arbeitsblattzellen mit Daten</t>
  </si>
  <si>
    <t>Dies:</t>
  </si>
  <si>
    <t>Abt.</t>
  </si>
  <si>
    <t>Obst und Gemüse</t>
  </si>
  <si>
    <t>Woche 1</t>
  </si>
  <si>
    <t>Intervalle</t>
  </si>
  <si>
    <t>Plus dies:</t>
  </si>
  <si>
    <t>Kategorie</t>
  </si>
  <si>
    <t>Jan</t>
  </si>
  <si>
    <t>Gleich:</t>
  </si>
  <si>
    <t>Produkt</t>
  </si>
  <si>
    <t>Apfel</t>
  </si>
  <si>
    <t>Apfelsine</t>
  </si>
  <si>
    <t>Banane</t>
  </si>
  <si>
    <t>Birnen</t>
  </si>
  <si>
    <t>Anzahl</t>
  </si>
  <si>
    <t>Qrtl. 1</t>
  </si>
  <si>
    <t>Sind alle Daten in eine Spalte gequetscht? Teilen Sie sie auf.</t>
  </si>
  <si>
    <t>Navigieren Sie zu Zelle D5. Drücken Sie STRG+G, geben Sie D5 ein, und drücken Sie die EINGABETASTE. Geben Sie den Vornamen, der sich in der E-Mail-Spalte befindet, in Zelle C5 ein: Carla</t>
  </si>
  <si>
    <t>Wechseln Sie zu Zelle D6. Drücken Sie STRG+E, die Tastenkombination für Blitzvorschau.</t>
  </si>
  <si>
    <t xml:space="preserve">Die Blitzvorschau erkennt ein einheitliches Muster bei der Eingabe und füllt die Zellen auf, sobald das Muster erkannt ist. </t>
  </si>
  <si>
    <t>Die Blitzvorschau kann auch noch auf andere Weise verwendet werden: Navigieren Sie zu Zelle E5.</t>
  </si>
  <si>
    <t>Drücken Sie ALT+R, um zur Registerkarte "Start" oberhalb des Menübands zu gelangen, und drücken Sie dann Ü, um die Ausfülloptionen auszuwählen. Wählen Sie die Blitzvorschau mit der NACH-UNTEN-TASTE oder durch Drücken von I aus. Jetzt befinden sich die Nachnamen in den Zellen E5 bis E9 in ihrer eigenen Spalte.</t>
  </si>
  <si>
    <t>Aufteilen einer Spalte anhand von Trennzeichen.</t>
  </si>
  <si>
    <t>Die Blitzvorschau ist ziemlich nützlich. Aber wenn Sie Daten in einem Durchgang in mehrere Spalten aufteilen möchten, ist sie einfach nicht das beste Tool. Versuchen Sie es in dieser Situation mit "Text in Spalten":</t>
  </si>
  <si>
    <t xml:space="preserve">Navigieren Sie zu Zelle C32. Wählen Sie alle Zellen von C32 bis C39 aus: Carla bis ganz runter zu Yvonne. </t>
  </si>
  <si>
    <t>Textkonvertierungs-Assistent – Schritt 2 von 3: Gehen Sie mit der TAB-Taste unter "Trennzeichen" zur Option "Komma". Achten Sie darauf, dass "Komma" als einziges Kontrollkästchen aktiviert ist, navigieren Sie dann mit der TAB-Taste zu "Weiter", und drücken Sie die EINGABETASTE.</t>
  </si>
  <si>
    <t xml:space="preserve">Textkonvertierungs-Assistent – Schritt 3 von 3: Drücken Sie die TAB-Taste, und wählen Sie nur die Option "Allgemein" aus. </t>
  </si>
  <si>
    <t>Drücken Sie anschließend Tab, bis Sie in das Textfeld "Zielbereich" gelangen. Geben Sie "$D$32" ein, und drücken Sie dann die EINGABETASTE.</t>
  </si>
  <si>
    <t>Navigieren Sie zu Zelle A49, um die nächste Anweisung zu erhalten.</t>
  </si>
  <si>
    <t>Aufteilen einer Spalte mit Formeln</t>
  </si>
  <si>
    <t>Es kann sinnvoll sein, zum Aufteilen von Daten eine Formel zu erstellen. Auf diese Weise werden bei einer Aktualisierung der ursprünglichen Daten die aufgeteilten Daten ebenfalls aktualisiert. Dies ist komplexer. Es ist aber möglich, wenn Sie eine Handvoll Funktionen verwenden: LINKS, RECHTS, SUCHEN und LÄNGE. Weitere Informationen zu jeder dieser Funktionen erhalten Sie über die Links unten auf dieser Seite unter Weitere Informationen im Web, beginnend ab Zelle A80. Aber falls Sie neugierig sind, sehen Sie hier, wie wir Zelle C56 aufteilen.</t>
  </si>
  <si>
    <t xml:space="preserve">Die Funktion „Links“ extrahiert eine angegebene Anzahl an Zeichen von der linken Seite von Zelle C56.
</t>
  </si>
  <si>
    <t xml:space="preserve">Die Funktion SUCHEN wird verwendet, um die Anzahl der zu extrahierenden Zeichen zu bestimmen. Und so funktioniert die Funktion SUCHEN: Suchen Sie die Nummer der Zeichenposition des ersten Leerzeichens in Zelle C56. Subtrahieren Sie anschließend 1, um das Leerzeichen selbst auszuschließen.
</t>
  </si>
  <si>
    <t>Das Ergebnis ist "Yvonne".</t>
  </si>
  <si>
    <t xml:space="preserve">Anschließend haben wir eine [Hilfsspalte] erstellt. Dies haben wir nur getan, um bei der Extraktion des sonstigen Texts in der Zelle zu "helfen". Sie wird nur vorübergehend genutzt und ist etwas, das später auch ausgeblendet werden kann. </t>
  </si>
  <si>
    <t xml:space="preserve">Wählen Sie die Zelle F56 aus: Giselle Faber in der [Hilfsspalte]. Sie sehen, dass wir die Funktionen RECHTS, LÄNGE und SUCHEN verwendet haben, um die Zeichen ab dem ersten Leerzeichen in Zelle C56 bis zum Ende der Zelle zu extrahieren. </t>
  </si>
  <si>
    <t>Die Funktion „Rechts“ extrahiert eine angegebene Anzahl an Zeichen von der rechten Seite von Zelle C56.</t>
  </si>
  <si>
    <t xml:space="preserve">In diesem Fall wird die Funktion LÄNGE verwendet, um die Anzahl der zu extrahierenden Zeichen zu bestimmen. Und so funktioniert die Funktion LÄNGE: Die Anzahl der Zeichen in Zelle C56 wird gezählt und die Anzahl der Zeichen aus der Funktion SUCHEN, die die Nummer der Zeichenposition des ersten Leerzeichens in Zelle C56 bestimmt und die Anzahl der Zeichen bis zum Leerzeichen zurückgibt, subtrahiert. </t>
  </si>
  <si>
    <t>Das Ergebnis lautet Giselle Faber.</t>
  </si>
  <si>
    <t>Aufteilen von Text in verschiedene Spalten</t>
  </si>
  <si>
    <t xml:space="preserve">Alle Informationen zu "Abrufen und transformieren" </t>
  </si>
  <si>
    <t>Alles über die LINKS-Funktion</t>
  </si>
  <si>
    <t>Alles über die RECHTS-Funktion</t>
  </si>
  <si>
    <t>Alles über die SUCHEN-Funktion</t>
  </si>
  <si>
    <t>Alles über die LÄNGE-Funktion</t>
  </si>
  <si>
    <t>E-Mail</t>
  </si>
  <si>
    <t>Carla.Kobusch@contoso.com</t>
  </si>
  <si>
    <t>Adrian.Wilske@fabrikam.com</t>
  </si>
  <si>
    <t>Jan.Sachweh@relecloud.com</t>
  </si>
  <si>
    <t>Marie.Krause@contoso.com</t>
  </si>
  <si>
    <t xml:space="preserve">Yvonne.Faber@fabrikam.com </t>
  </si>
  <si>
    <t>Daten</t>
  </si>
  <si>
    <t>Carla,Kobusch,Contoso Ltd.</t>
  </si>
  <si>
    <t>Adrian,Wilske,Fabrikam Inc.</t>
  </si>
  <si>
    <t>Jan,Sachweh,Relecloud</t>
  </si>
  <si>
    <t>Marie,Krause,Contoso Ltd.</t>
  </si>
  <si>
    <t>Ralf,Krause,Relecloud</t>
  </si>
  <si>
    <t>Friedrich,Knerich,Fabrikam Inc.</t>
  </si>
  <si>
    <t>Tyge,Hartmann,Relecloud</t>
  </si>
  <si>
    <t>Yvonne,Faber,Contoso Ltd.</t>
  </si>
  <si>
    <t>Name in einer Zelle</t>
  </si>
  <si>
    <t>Yvonne Giselle Faber</t>
  </si>
  <si>
    <t>Vorname</t>
  </si>
  <si>
    <t>Nachname</t>
  </si>
  <si>
    <t>Kobusch</t>
  </si>
  <si>
    <t>Firmenname</t>
  </si>
  <si>
    <t>[Hilfsspalte]</t>
  </si>
  <si>
    <t>Zweiter Vorname</t>
  </si>
  <si>
    <t>Vertauschen der Position von Daten durch Transponieren</t>
  </si>
  <si>
    <t>Wenn Sie Zeilen und Spalten vertauschen müssen, transponieren Sie sie in Excel.</t>
  </si>
  <si>
    <t>Die Zellen C5 bis H6 enthalten zwei Zeilen von Elementen und Beträgen. Wählen Sie die Zellen C5 bis H6 aus.</t>
  </si>
  <si>
    <t>Jetzt müssen Sie die Zellen kopieren. Drücken Sie STRG+C.</t>
  </si>
  <si>
    <t>Wählen Sie Zelle C9 aus.</t>
  </si>
  <si>
    <t xml:space="preserve">Drücken Sie ALT+R, um zur Registerkarte "Start" oberhalb des Menübands zu gelangen, und drücken Sie dann V, um die Einfügeoptionen auszuwählen. Wählen Sie "Inhalte einfügen" mithilfe der NACH-UNTEN-TASTE oder durch Drücken von Ü aus. </t>
  </si>
  <si>
    <t>Drücken Sie die TAB-Taste, bis Sie "Transponieren" finden. Drücken Sie die Leertaste, um "Transponieren" auszuwählen, und drücken Sie dann die EINGABETASTE.</t>
  </si>
  <si>
    <t xml:space="preserve">EXPERTENTIPP: Die Tastenkombination für "Inhalte einfügen" ist STRG+ALT+V. 
</t>
  </si>
  <si>
    <t>Transponieren mit einer Formel</t>
  </si>
  <si>
    <t>Manchmal ist Kopieren und Einfügen nicht sinnvoll, wenn Sie transponieren möchten. In diesem Fall können Sie eine Formel verwenden, um Zeilen und Spalten zu transponieren. Das erreichen Sie so:</t>
  </si>
  <si>
    <t xml:space="preserve">Um diese Daten zu transponieren, müssen Sie zuerst einige leere Zellen auswählen. Da sich die Daten in den Zellen C33 bis H34 auf der rechten Seite in sechs Spalten und zwei Zeilen befinden, müssen Sie das Gegenteil auswählen: zwei Spalten und sechs Zeilen. Wählen Sie dazu die Zellen C40 bis D45 aus. </t>
  </si>
  <si>
    <t xml:space="preserve">Das ist ein bisschen schwierig, also geben Sie gut Acht. Während die Zellen noch markiert sind, geben Sie Folgendes ein: =MTRANS(C33:H34), aber drücken Sie nicht die EINGABETASTE. Drücken Sie stattdessen STRG+UMSCHALT+EINGABETASTE. Wenn als Ergebnis ein Fehler oder #WERT! angezeigt wird, versuchen Sie es noch einmal ab der Anweisung in Zelle A29. 
</t>
  </si>
  <si>
    <t>Wählen Sie eine der transponierten Zellen aus, z. B. Zelle C41. Sehen Sie sich die Formel oben in Excel an. Sie werden feststellen, dass die Formel so aussieht: {=MTRANS(C33:H34)}</t>
  </si>
  <si>
    <t xml:space="preserve">Wählen Sie eine andere transponierte Zelle aus den Zellen C40 bis D45 aus, beispielsweise Zelle D43. Sehen Sie sich erneut die Bearbeitungsleiste an. Die Formel ist dieselbe wie in Zelle C41. Warum? Weil es sich um eine Matrixformel handelt.
</t>
  </si>
  <si>
    <t>Navigieren Sie zu Zelle A54, um die nächste Anweisung zu erhalten.</t>
  </si>
  <si>
    <t>Was ist eine Matrixformel?</t>
  </si>
  <si>
    <t>Eine Matrixformel kann Berechnungen für mehrere Zellen in einer Matrix ausführen. Im Beispiel oben ist die Matrix die ursprüngliche Datenmenge in den Zellen C33:H34. Die Funktion MTRAN vertauscht dann die horizontale Ausrichtung der Zellen in eine vertikale Ausrichtung. </t>
  </si>
  <si>
    <t xml:space="preserve">Matrixformeln werden immer mit CTRL+UMSCHALT+EINGABE abgeschlossen, nicht einfach mit EINGABE. Durch das Drücken von CTRL+UMSCHALT+EINGABE wird die Funktion für die Matrix berechnet. Wenn Sie fertig sind, setzt Excel die Formel in spezielle Klammern {}. Diese Klammern stellen einen visuellen Hinweis dar, dass es sich bei der ausgewählten Zelle um einen Teil einer Matrixformel handelt. Sie können diese Klammer nicht manuell eingeben. Excel fügt sie ein, wenn Sie STRG+UMSCHALT+EINGABE drücken. </t>
  </si>
  <si>
    <t>ZU BEACHTEN...
Es gibt drei Punkte, die Sie beim Arbeiten mit einer Matrixformel beachten müssen: 
1) Wählen Sie immer erst mehrere Zellen aus, und beginnen Sie mit der Eingabe der Matrixformel, während die Zellen ausgewählt sind. Das ist der entscheidende Punkt: Wählen Sie zuerst mehrere Zellen aus, und beginnen Sie dann mit der Eingabe.
2) Wenn Sie mit der Eingabe einer Matrixformel fertig sind, drücken Sie STRG+UMSCHALT+EINGABE.
3) Sobald Sie eine Matrixformel eingegeben haben, können Sie die neue Matrix nicht unterbrechen. Beispielsweise können Sie nicht einfach einer der Zellen überschreiben oder löschen. Ferner können Sie auch keine neue Zeile oder Spalte in die Matrix einfügen. Wenn Sie diese Möglichkeiten benötigen, wählen Sie alle Zellen aus, die die Matrixformel aufweisen, nehmen Sie dann Ihre Änderungen vor, und erstellen Sie die Formel neu.</t>
  </si>
  <si>
    <t xml:space="preserve">EXCEL-JARGON: Da für Matrixformeln STRG+UMSCHALT+EINGABE erforderlich ist, nennen einige Benutzer Matrixformeln informell auch "SUE-Formeln". 
</t>
  </si>
  <si>
    <t>Umfassende Informationen zur Funktion MTRANS</t>
  </si>
  <si>
    <t xml:space="preserve"> um mit dem nächsten Schritt fortzufahren.</t>
  </si>
  <si>
    <t>Mühelos sortieren und filtern</t>
  </si>
  <si>
    <t>In der obersten Zeile werden von Zelle C5 bis G5 Filterschaltflächen angezeigt. Navigieren Sie zur Zelle "Abteilung", C5, und drücken Sie ALT+NACH-UNTEN-TASTE und dann NACH-UNTEN-TASTE und LEERTASTE, um das Kontrollkästchen "Alles auswählen" zu deaktivieren. Verwenden Sie anschließend die Pfeiltasten, um "Backwaren" zu finden, und drücken Sie dann die LEERTASTE, gefolgt von der EINGABETASTE.</t>
  </si>
  <si>
    <t xml:space="preserve">BONUSAUFGABE: Versuchen Sie, alphabetisch nach zwei Spalten zu sortieren. Und so geht's: Sortieren Sie zuerst "Abteilung" alphabetisch (verfahren Sie nach den Schritten in Zelle A3 oben). Wählen Sie dann die Registerkarte "Daten" und die Sortier- und Filteroptionen aus. Suchen Sie "Benutzerdefinierte Sortierung", und fügen Sie für "Kategorie" eine zweite Ebene hinzu. Nachdem Sie "OK" ausgewählt haben, wird die Abteilung sortiert, und innerhalb jeder Abteilung werden die Kategoriezeilen ebenfalls in alphabetischer Reihenfolge sortiert. </t>
  </si>
  <si>
    <t>Sortieren nach Datum oder sogar nach Farbe</t>
  </si>
  <si>
    <t>Excel bietet viele Möglichkeiten zum Sortieren. Dies sind nur zwei weitere Möglichkeiten zum Sortieren:</t>
  </si>
  <si>
    <t>Sie möchten die Datumswerte der Spesen der Reihe nach anordnen. Also, wählen Sie die Datenüberschrift "Ausgabe" aus, entsprechend Zelle C31, drücken Sie dann ALT+NACH-UNTEN-TASTE, und verwenden Sie die Pfeiltasten, um "Nach Datum sortieren (aufsteigend)" zu finden. Drücken Sie die EINGABETASTE. Die Zeilen werden nach dem Datum der Ausgabe in aufsteigender Reihenfolge der Datumswerte sortiert.</t>
  </si>
  <si>
    <t>Jemand hat drei Zellen mit einer gelben Füllung formatiert. Sie können die Zeilen nach dieser Farbe sortieren. Navigieren Sie zu Zelle F31, drücken Sie ALT+NACH-UNTEN-TASTE, und verwenden Sie die Pfeiltasten, um die Option "Nach Farbe sortieren" zu suchen. Drücken Sie die NACH-RECHTS-TASTE, um die Hervorhebungsfarbe "Gelb" (RGB-Farbe 255, 255, 0) auszuwählen, und drücken Sie die EINGABETASTE. Die hervorgehobenen Zellen werden innerhalb der Spalte automatisch ganz nach oben sortiert.</t>
  </si>
  <si>
    <t xml:space="preserve">WICHTIGES DETAIL: Sie können eine Sortierreihenfolge nicht löschen wie einen Filter. Wenn Sie nicht möchten, dass Ihre Sortierreihenfolge erhalten bleibt, machen Sie die Sortierung durch Drücken von STRG+Z rückgängig.
</t>
  </si>
  <si>
    <t>Weitere Verfahren zum Filtern von Daten</t>
  </si>
  <si>
    <t xml:space="preserve">Navigieren Sie zu Zelle F49: Hotel Drücken Sie ALT+NACH-UNTEN-TASTE, und verwenden Sie dann die Pfeiltasten, um die Option "Zahlenfilter" zu suchen. Drücken Sie die NACH-RECHTS-TASTE, um die Liste der Zahlenfilter zu öffnen, und verwenden Sie die Pfeiltasten, um die Option "Über dem Durchschnitt" zu suchen. Drücken Sie dann die EINGABETASTE. Excel berechnet den durchschnittlichen Betrag der Spalte "Hotel" und zeigt dann nur Zeilen mit Beträgen an, die über diesem Durchschnittswert liegen. </t>
  </si>
  <si>
    <t>Filtern von Daten in einem Bereich oder einer Tabelle</t>
  </si>
  <si>
    <t>Abteilung</t>
  </si>
  <si>
    <t>Backwaren</t>
  </si>
  <si>
    <t>Feinkost</t>
  </si>
  <si>
    <t>Datum der Ausgabe</t>
  </si>
  <si>
    <t>Desserts</t>
  </si>
  <si>
    <t>Gemüse</t>
  </si>
  <si>
    <t>Salate</t>
  </si>
  <si>
    <t>Brote</t>
  </si>
  <si>
    <t>Sandwiches</t>
  </si>
  <si>
    <t>Mitarbeiter</t>
  </si>
  <si>
    <t>Leonie</t>
  </si>
  <si>
    <t>Maximilian</t>
  </si>
  <si>
    <t>Lorenz</t>
  </si>
  <si>
    <t>Maja</t>
  </si>
  <si>
    <t>Ernst</t>
  </si>
  <si>
    <t>Louisa</t>
  </si>
  <si>
    <t>Okt</t>
  </si>
  <si>
    <t>Essen</t>
  </si>
  <si>
    <t>Nov</t>
  </si>
  <si>
    <t>Hotel</t>
  </si>
  <si>
    <t>Dez</t>
  </si>
  <si>
    <t>Mit Tabellen wird vieles einfacher</t>
  </si>
  <si>
    <t>Mit einer Tabelle haben Sie Zugriff auf besondere Funktionen und Annehmlichkeiten. So erstellen Sie eine Tabelle:</t>
  </si>
  <si>
    <t>Die Zellen C5 bis G13 enthalten Daten. Navigieren Sie zu einer beliebigen Zelle in diesem Bereich, beispielsweise Zelle D8. Drücken Sie STRG+G, geben Sie D8 ein, und drücken Sie die EINGABETASTE.</t>
  </si>
  <si>
    <t>Drücken Sie ALT+I, um zur Registerkarte "Einfügen" oberhalb des Menübands zu navigieren, drücken Sie dann "ß" und anschließend die EINGABETASTE. Oder drücken Sie die Tastenkombination STRG+T und dann die EINGABETASTE.</t>
  </si>
  <si>
    <t>Jetzt haben Sie eine Tabelle, das ist eine Sammlung von Zellen mit besonderen Features. Für Neueinsteiger: Eine Tabelle bietet Ihnen gebänderte Zeilen für bessere Lesbarkeit.</t>
  </si>
  <si>
    <t xml:space="preserve">Ferner können Sie einfach neue Zeilen erstellen. Navigieren Sie zu der leeren Zelle unter Zelle C13: Fleischwaren. Geben Sie Text ein, und drücken Sie dann die EINGABETASTE. Es wird eine neue Zeile für die Tabelle angezeigt. </t>
  </si>
  <si>
    <t>Und genauso einfach können Sie Spalten erstellen: Navigieren Sie zu einer beliebigen Zelle zwischen H5 und H14, z.B. H10. Geben Sie Text ein, und drücken Sie dann die EINGABETASTE. Es wird eine neue Spalte für die Tabelle angezeigt. Wiederholen Sie den Vorgang, um eine neue Spalte in Spalte I hinzuzufügen.</t>
  </si>
  <si>
    <t>Beachten Sie, wie die beiden Spalten erstellt und formatiert werden und wie der Text Jan. und Feb. für Sie automatisch in die Zellen H5 und I5 eingesetzt wird.</t>
  </si>
  <si>
    <t xml:space="preserve">BONUSAUFGABE: Versuchen Sie, die Formatvorlage der Tabelle zu ändern. Wählen Sie zuerst eine Zelle in der Tabelle zwischen den Zellen C5 und I14 aus. Am oberen Rand von Excel wird die Registerkarte "Tabellentools Entwurf" angezeigt. Drücken Sie ALT+JY, um die Registerkarte "Entwurf" oberhalb des Menübands zu öffnen, und drücken Sie S, um die Tabellenformatvorlagen zu öffnen. Verwenden Sie die Pfeiltasten, um in den Optionen zu navigieren und eine Tabellenformatvorlage auszuwählen, die Ihnen gefällt.
</t>
  </si>
  <si>
    <t>Berechnete Spalten in Tabellen</t>
  </si>
  <si>
    <t>Ein Beispiel für eine Annehmlichkeit, die Tabellen für Sie bereithalten: berechnete Spalten. Sie geben eine Formel einmal ein, und sie wird automatisch nach unten ausgefüllt. Und so funktioniert es:</t>
  </si>
  <si>
    <t>Drücken Sie ALT+=, und drücken Sie dann die EINGABETASTE.</t>
  </si>
  <si>
    <t>Navigieren Sie zu Zelle A47, um die nächste Anweisung zu erhalten.</t>
  </si>
  <si>
    <t>Ergebniszeilen in Tabellen</t>
  </si>
  <si>
    <t>Die Zellen C53 bis E61 enthalten Daten in drei Spalten: Abteilung, Kategorie und Umsätze.</t>
  </si>
  <si>
    <t>Navigieren Sie zu einer beliebigen Zelle in diesem Bereich, beispielsweise Zelle D57.</t>
  </si>
  <si>
    <t>Oben im Excel-Fenster wird die Registerkarte "Tabellentools Entwurf" angezeigt. Drücken Sie ALT+JY, um die Registerkarte "Entwurf" oberhalb des Menübands zu öffnen, und drücken Sie dann G, um die Ergebniszeile in den Optionen für Tabellenformatvorlagen auszuwählen.</t>
  </si>
  <si>
    <t>In den Zellen C62 bis E62 am unteren Rand der Tabelle wird eine neue Zeile eingefügt.</t>
  </si>
  <si>
    <t>Und wie können Sie vorgehen, um den Mittelwert zu bestimmen? Wählen Sie die Zelle E62: 24.000 € aus.</t>
  </si>
  <si>
    <t>Drücken Sie ALT+NACH-UNTEN-TASTE, und verwenden Sie die Pfeiltasten, um die Option "Mittelwert" zu suchen. Drücken Sie dann die EINGABETASTE. Die Durchschnittsbetrag von 3.000 € wird angezeigt.</t>
  </si>
  <si>
    <t xml:space="preserve">WISSENSWERTES: Es gibt eine Tastenkombination zum Ein- und Ausblenden der Ergebniszeile. Wählen Sie eine Zelle innerhalb der Tabelle aus, und drücken Sie dann STRG+UMSCHALT+T.
</t>
  </si>
  <si>
    <t>Übersicht zu Excel-Tabellen</t>
  </si>
  <si>
    <t xml:space="preserve"> drücken Sie STRG+NACH-UNTEN-TASTE.</t>
  </si>
  <si>
    <t>Sandwich</t>
  </si>
  <si>
    <t>Umsätze</t>
  </si>
  <si>
    <t>Gesamt</t>
  </si>
  <si>
    <t>Einfügen einer Dropdown-Liste</t>
  </si>
  <si>
    <t xml:space="preserve">Dropdownlisten vereinfachen Benutzern die Dateneingabe. So können Sie eine erstellen: </t>
  </si>
  <si>
    <t>Wechseln Sie zu Zelle D4. Drücken Sie STRG+G, geben Sie D4 ein, und drücken Sie die EINGABETASTE. Wählen Sie alle Zellen von D4 bis D15 aus.</t>
  </si>
  <si>
    <t>Geben Sie im Feld "Quelle" die Werte "Obst und Gemüse", "Fleischwaren" und "Backwaren" ein. Trennen Sie die einzelnen Namen unbedingt durch Kommas. Drücken Sie die EINGABETASTE, wenn Sie fertig sind.</t>
  </si>
  <si>
    <t>Wählen Sie jetzt die Zelle D4 aus, , das ist die Zelle neben "Äpfel" in C4. Drücken Sie ALT+NACH-UNTEN-TASTE. Es wird ein Dropdownmenü angezeigt, das die drei von Ihnen hinzugefügten Elemente enthält: Obst und Gemüse, Fleischwaren und Backwaren.</t>
  </si>
  <si>
    <t>Bewährte Methode für Dropdownlisten: Verwenden Sie eine Tabelle.</t>
  </si>
  <si>
    <t>Wir haben Ihnen gerade gezeigt, wie Sie ein Dropdownmenü für die Abteilungsliste einfügen. Aber wie gehen Sie vor, wenn sich die Liste ändert? Beispielsweise, wenn es eine neue Abteilung "Milchprodukte" gibt? Sie müssten das Dialogfeld "Datenüberprüfung" aktualisieren. Es gibt aber eine effizientere Vorgehensweise, indem zuerst eine Tabelle erstellt wird:</t>
  </si>
  <si>
    <t>Die Zellen C31 bis D43 enthalten Daten in zwei Spalten. "Lebensmittel" und "Abteilung". Die Zellen F31 bis F34 enthalten Daten in einer Spalte: Abteilung.</t>
  </si>
  <si>
    <t xml:space="preserve">Wählen Sie im Bereich F31 bis F34 eine Zelle mit einer Abteilung aus. Wählen Sie beispielsweise die Zelle F33 aus: Fleischwaren. </t>
  </si>
  <si>
    <t>Erstellen Sie eine Tabelle, indem Sie STRG+T und dann die EINGABETASTE drücken.</t>
  </si>
  <si>
    <t>Jetzt müssen Sie die Datenüberprüfung erneut einrichten. Wählen Sie unter Zelle D31: "Abteilung", wählen Sie alle leeren Zellen von D32 bis D43 aus.</t>
  </si>
  <si>
    <t>Geben Sie im Textfeld "Quelle" =$F$32:$F$34 ein, und drücken Sie dann die EINGABETASTE.</t>
  </si>
  <si>
    <t>Sie haben die Werte in der einzelnen Spalte ausgewählt, beginnend in Zelle F31: Abteilung.</t>
  </si>
  <si>
    <t xml:space="preserve">EXPERTENTIPP: Häufig räumen Benutzer Überprüfungslisten wie diese aus dem Weg und lagern sie auf ein anderes Blatt aus. Auf diese Weise geraten andere nicht in Versuchung, die Liste zu ändern.
</t>
  </si>
  <si>
    <t>Anwenden von Datenüberprüfung auf Zellen</t>
  </si>
  <si>
    <t>Broccoli</t>
  </si>
  <si>
    <t>Grünkohl</t>
  </si>
  <si>
    <t>Schinken</t>
  </si>
  <si>
    <t>Schnelles Analysieren von Daten</t>
  </si>
  <si>
    <t>Auf diese Weise können Sie Daten analysieren und Muster und Trends so schnell erkennen:</t>
  </si>
  <si>
    <t>Die Zellen C5 bis G13 enthalten Daten in fünf Spalten. Abteilung, Kategorie, Okt., Nov. und Dez.</t>
  </si>
  <si>
    <t>Navigieren Sie zu einer Zelle in der Tabelle im Bereich C5 bis G13, z.B. E9, und drücken Sie dann STRG+Q. Ein Bedienfeld für die Schnellanalyse wird angezeigt.</t>
  </si>
  <si>
    <t>Drücken Sie die TAB-Taste, um zu den Formatierungsoptionen zu gelangen, und drücken Sie die EINGABETASTE, um "Datenbalken" auszuwählen.</t>
  </si>
  <si>
    <t>In den Zellen unter den Spalten Okt., Nov. und Dez. erhalten die Zellen E6 bis G13 besondere Datenbalken zur Visualisierung der Beträge.</t>
  </si>
  <si>
    <t>Nehmen wir jetzt an, dass Sie die Datenbalken loswerden möchten. Wählen Sie den gesamten Bereich der Zellen von C5 bis G13 aus, und drücken Sie dann STRG+Q, um das Schnellanalyse-Bedienfeld erneut zu öffnen.</t>
  </si>
  <si>
    <t>Drücken Sie die TAB-Taste, um die Formatierungsoptionen zu öffnen, drücken Sie die NACH-RECHTS-TASTE, um "Löschen…," zu suchen, und drücken Sie dann die EINGABETASTE.</t>
  </si>
  <si>
    <t xml:space="preserve">WISSENSWERTES: Wenn Sie Zellen auswählen, wird diese Schnellanalyse-Schaltfläche angezeigt. Der Name passt, finden Sie nicht? Sie können auf die Schaltfläche jederzeit mithilfe der Tastenkombination zugreifen: STRG+Q. Wenn Sie jemals eine Frage zu den von Ihnen ausgewählten Daten haben, wählen Sie diese Option aus, und finden Sie heraus, ob Sie darauf Antworten erhalten. </t>
  </si>
  <si>
    <t>Schnell ein Diagramm erstellen</t>
  </si>
  <si>
    <t>Sie können immer die Registerkarte "Einfügen" verwenden und ein Diagramm erstellen. Hier zeigen wir Ihnen jedoch eine andere Möglichkeit zum Erstellen eines Diagramms, mithilfe der Option "Schnellanalyse". Diesmal möchten wir außerdem die Tastenkombination verwenden:</t>
  </si>
  <si>
    <t>Die Zellen C34 bis G42 enthalten Daten in fünf Spalten: Abteilung, Kategorie, Okt., Nov. und Dez.</t>
  </si>
  <si>
    <t>Navigieren Sie zu einer Zelle in der Tabelle im Bereich C34 bis G42, z.B. D38, und drücken Sie dann STRG+Q.</t>
  </si>
  <si>
    <t>Das Bedienfeld für die Schnellanalyse wird angezeigt. Drücken Sie die NACH-RECHTS-TASTE, bis Sie "Diagramme" finden.</t>
  </si>
  <si>
    <t>Drücken Sie die TAB-Taste, um die Option "Diagramme" zu öffnen, und dann die EINGABETASTE, um "Gruppierte…" auszuwählen.</t>
  </si>
  <si>
    <t>Ein neues gruppiertes Säulendiagramm wird angezeigt und ist ausgewählt. Mithilfe der Pfeiltasten können Sie es nach Belieben verschieben. Beachten Sie, dass jedes Produkt in der Tabelle drei Spalten aufweist, eine für jeden Vertriebsmonat: Okt., Nov. und Dez.</t>
  </si>
  <si>
    <t>Schnell Sparklines erstellen</t>
  </si>
  <si>
    <t>Angenommen, Sie möchten kleine Trendlinien rechts neben Ihren Daten anzeigen, um darzustellen, wie sich die Beträge im Lauf der drei Monate verändern. Dazu brauchen Sie nicht 8 kleine Liniendiagramme zu erstellen. Sie können stattdessen Sparklines erstellen.</t>
  </si>
  <si>
    <t>Die Zellen C54 bis G62 enthalten Daten in fünf Spalten: Abteilung, Kategorie, Okt., Nov. und Dez.</t>
  </si>
  <si>
    <t>Navigieren Sie zu einer Zelle innerhalb der Tabelle zwischen den Zellen C55 und G62, und drücken Sie dann STRG+Q.</t>
  </si>
  <si>
    <t>Drücken Sie im Schnellanalyse- Bedienfeld die NACH-RECHTS-TASTE, bis Sie "Sparklines" finden, und drücken Sie dann die TAB-Taste, um die Option "Linie" auszuwählen. Drücken Sie die EINGABETASTE, um der Tabelle Sparklines hinzufügen.</t>
  </si>
  <si>
    <t>Sparklines werden rechts neben der Spalte "Dez." in den Zellen H55 bis H62 angezeigt. Jede Linie stellt die Daten der betreffenden Zeile dar und zeigt, ob sich die Beträge nach oben oder unten entwickeln.</t>
  </si>
  <si>
    <t>Um die Sparklines zu löschen, wählen Sie Zellen H55 bis H62 aus. Drücken Sie ALT+JM, um die Registerkarte "Sparklinetools Entwurf" oberhalb des Menübands zu öffnen. Drücken Sie Ö, um die Option "Löschen" auszuwählen, und drücken Sie dann S, um "Ausgewählte Sparklines löschen" auszuwählen.</t>
  </si>
  <si>
    <t>Sofortiges Analysieren von Daten</t>
  </si>
  <si>
    <t>Analysieren von Trends in Daten mithilfe von Sparklines</t>
  </si>
  <si>
    <t>Überzeugende Diagramme, von Excel vorgeschlagen</t>
  </si>
  <si>
    <t>Die Zellen C5 bis D11 enthalten Daten in zwei Spalten: Jahr und Konferenzteilnahme.</t>
  </si>
  <si>
    <t>Navigieren Sie in der Tabelle zu einer beliebigen Zelle C5 und D11, beispielsweise Zelle C6. Drücken Sie STRG+G, geben Sie "C6" ein, und drücken Sie die EINGABETASTE.</t>
  </si>
  <si>
    <t>Drücken Sie jetzt ALT+I, um die Registerkarte "Einfügen" oberhalb des Menübands zu öffnen. Drücken Sie LM, um die Optionen für empfohlene Diagramme anzuzeigen.</t>
  </si>
  <si>
    <t>Es werden mehrere Empfehlungen angezeigt. Drücken Sie die TAB-Taste, um in die Liste zu gelangen, und verwenden Sie die Pfeiltasten, um die Option "Gruppierte Säulen" zu suchen. Drücken Sie dann die EINGABETASTE.</t>
  </si>
  <si>
    <t>Ein Säulendiagramm wird angezeigt, das die Gesamtzahl der Konferenzteilnehmer pro Jahr darstellt. Mithilfe der Pfeiltasten können Sie das Diagramm nach Belieben verschieben.</t>
  </si>
  <si>
    <t xml:space="preserve">Jetzt können Sie eine Trendlinie hinzufügen. Wählen Sie das soeben erstellte Diagramm aus, und drücken Sie ALT+JT, um die Registerkarte "Diagrammtools Entwurf" oberhalb des Menübands zu öffnen. </t>
  </si>
  <si>
    <t>Drücken Sie D, um ein Diagrammelement hinzuzufügen, und drücken Sie dann die NACH-UNTEN-TASTE, um die Option "Trendlinie" zu finden. Drücken Sie die NACH-RECHTS-TASTE, um die Trendlinienoptionen zu öffnen, und dann die NACH-UNTEN-TASTE, um zur Option "Linear" zu navigieren. Drücken Sie dann die EINGABETASTE. Jetzt haben Sie eine Trendlinie, die die allgemeine Richtung für die im zeitlichen Verlauf verkauften Einheiten anzeigt.</t>
  </si>
  <si>
    <t xml:space="preserve">BONUSAUFGABE: Möchten Sie eine Datentabelle direkt unterhalb des Diagramms anzeigen? Wählen Sie das Diagramm aus. Drücken Sie ALT+JT, um die Registerkarte "Diagrammtools Entwurf" zu öffnen. Drücken Sie dann D, um ein Diagrammelement hinzuzufügen. Drücken Sie die NACH-UNTEN-TASTE, um die Option "Datentabelle "zu suchen, und drücken Sie dann die NACH-RECHTS-TASTE, um die Datentabellenoptionen zu öffnen. Drücken Sie die NACH-UNTEN-TASTE, bis Sie zur Option "Mit Legendensymbolen" gelangen. Wählen Sie "Mit Legendensymbolen" aus, und drücken Sie dann die EINGABETASTE, um dem Diagramm Legendensymbole hinzuzufügen.
</t>
  </si>
  <si>
    <t>Horizontale und vertikale Achsen</t>
  </si>
  <si>
    <t xml:space="preserve">In der Schule haben Sie vermutlich gelernt, dass es eine X-Achse und eine Y-Achse gibt. Excel verfügt ebenfalls über diese beiden Achsen, bezeichnet sie aber etwas anders. </t>
  </si>
  <si>
    <t>In Excel heißen sie folgendermaßen:</t>
  </si>
  <si>
    <t xml:space="preserve">• Die X-Achse entlang der Unterkante wird als horizontale Achse bezeichnet. </t>
  </si>
  <si>
    <t xml:space="preserve">• Die Y-Achse, die von oben nach unten verläuft, wird als die vertikale Achse bezeichnet. </t>
  </si>
  <si>
    <t xml:space="preserve">Jede Achse kann entweder eine Größenachse oder eine Rubrikenachse sein. </t>
  </si>
  <si>
    <t xml:space="preserve">• Eine Größenachse stellt Zahlenwerte dar. Beispielsweise kann eine Größenachse Euros, Stunden, die Dauer, die Temperatur usw. darstellen. Die vertikale Achse im Diagramm rechts, das bei Zelle D30 beginnt, ist eine Größenachse. </t>
  </si>
  <si>
    <t xml:space="preserve">• Eine Rubrikenachse stellt Dinge wie Datumswerte, die Namen von Personen oder Produktnamen dar. Die horizontale Achse im Diagramm rechts, das bei Zelle D30 beginnt, weist Jahre auf, stellt also eine Rubrikenachse dar. </t>
  </si>
  <si>
    <t>Navigieren Sie zu Zelle A52, um die nächste Anweisung zu erhalten.</t>
  </si>
  <si>
    <t>Sekundärachse</t>
  </si>
  <si>
    <t>Sie können in einem Diagramm auch eine Sekundärachse verwenden. Eine Sekundärachse ist eine zusätzliche Größenachse, die andere Werte als die andere Größenachse zeigen kann.</t>
  </si>
  <si>
    <t>Erstellen eines Verbunddiagramms mit einer Sekundärachse</t>
  </si>
  <si>
    <t>Verfügbare Diagrammtypen in Office</t>
  </si>
  <si>
    <t>Jahr</t>
  </si>
  <si>
    <t>Konferenzteilnahme</t>
  </si>
  <si>
    <t>Datum</t>
  </si>
  <si>
    <t>Zusammenfassen von Daten mit PivotTables</t>
  </si>
  <si>
    <t>Die Zellen C3 bis F9 enthalten Daten in vier Spalten: Datum, Verkäufer, Produkt und Betrag</t>
  </si>
  <si>
    <t>Sehen Sie sich die Spalten "Datum", "Verkäufer", "Produkt" und "Betrag" an. Können Sie schnell das profitabelste Produkt identifizieren? Oder angeben, welcher Verkäufer die größten Erfolge hat? Bei diesen Fragen kann die PivotTable in den Zellen E11 bis F15 weiterhelfen.</t>
  </si>
  <si>
    <t xml:space="preserve">Beim Erstellen der PivotTable haben wir auf ein paar Schaltflächen geklickt, sodass sich die Daten aufsummieren ließen. Daher wissen wir jetzt, welches Produkt das profitabelste ist. </t>
  </si>
  <si>
    <t xml:space="preserve">Im nächsten Schritt werden Sie die Daten pivotieren, damit Sie feststellen können, welcher Verkäufer der erfolgreichste ist. Drücken Sie STRG+G, geben Sie E12 ein, und drücken Sie die EINGABETASTE. Ihre Auswahl befindet sich nun in der PivotTable. </t>
  </si>
  <si>
    <t>Drücken Sie TAB, bis Sie auf die Kategorienliste zugreifen: Datum, Vertriebsmitarbeiter, Produkt und Betrag. Verwenden Sie die Pfeile, um das Kontrollkästchen „Vertriebsmitarbeiter“ zu finden. Drücken Sie die Leertaste, um das Feld „Vertriebsmitarbeiter“ hinzuzufügen. Drücken Sie dann UMSCHALT+F6, bis Sie auf die Tabelle „PivotTableSample“ zugreifen. Navigieren Sie dann zu Zelle F12. Anne ist mit 2150 die führende Vertriebsmitarbeiterin.</t>
  </si>
  <si>
    <t>Erstellen einer PivotTable</t>
  </si>
  <si>
    <t>Jetzt sollten Sie die PivotTable einmal selbst erstellen, damit Sie wissen, wie das geht, wenn Sie Daten zusammenfassen müssen.</t>
  </si>
  <si>
    <t>Die Zellen C34 bis F40 enthalten Daten in vier Spalten: Datum, Verkäufer, Produkt und Betrag</t>
  </si>
  <si>
    <t>Wählen Sie eine Zelle in der Tabelle aus. Navigieren Sie beispielsweise zu Zelle E38, und drücken Sie dann ALT+JY, um das Menü "Entwurf" oberhalb des Menübands zu öffnen. Drücken Sie M, um eine PivotTable einzufügen.</t>
  </si>
  <si>
    <t>Ein Dialogfeld "PivotTable erstellen" wird angezeigt. Der Fokus befindet sich auf "Tabelle oder Bereich auswählen". Lassen Sie dieses Optionsfeld aktiviert, und drücken Sie die TAB-Taste, um auszuwählen, wo der PivotTable-Bericht platziert werden soll. Die Standardoption ist ausgewählt: Neues Arbeitsblatt Drücken Sie die NACH-UNTEN-TASTE, um "Vorhandenes Arbeitsblatt" auszuwählen. Drücken Sie die TAB-Taste, um in das Textfeld "Quelle" zu gelangen, und geben Sie C42 ein. Drücken Sie dann die EINGABETASTE.</t>
  </si>
  <si>
    <t xml:space="preserve">Der Bereich "PivotTable-Felder" wird auf der rechten Seite eingeblendet. Drücken Sie UMSCHALT+F6, bis Sie zum Textfeld "Suchen" gelangen: Geben Sie Wörter ein, die zur Bearbeitung gesucht werden sollen. </t>
  </si>
  <si>
    <t>Drücken Sie die TAB-Taste, um in die Kategorienliste zu gelangen. Drücken Sie die NACH-UNTEN-TASTE, um zum Kontrollkästchen "Produkt" zu gelangen. Drücken Sie die LEERTASTE, um "Produkt" auszuwählen.
Dabei wird das Feld "Produkt" dem Abschnitt "Zeilen" unten im Bereich hinzugefügt. Und die Produktdaten werden in der neuen PivotTabelle als Zeilenbeschriftungen angezeigt.</t>
  </si>
  <si>
    <t xml:space="preserve">Drücken Sie jetzt die NACH-UNTEN-TASTE, um das Kontrollkästchen "Betrag" zu finden. 
Dabei wird das Feld "Betrag" dem Abschnitt "Werte" unten im Bereich hinzugefügt. Und zugleich werden die Beträge für jedes Produkt in der PivotTable addiert.
</t>
  </si>
  <si>
    <t>Herzlichen Glückwunsch, Sie haben eine PivotTable erstellt. Aber Sie können noch viel mehr tun. Navigieren Sie also zu Zelle A60, wenn Sie noch mehr erfahren möchten.</t>
  </si>
  <si>
    <t>Navigieren Sie zu Zelle A58, um die nächste Anweisung zu erhalten.</t>
  </si>
  <si>
    <t>Erstellen einer PivotTable zum Analysieren von Arbeitsblattdaten</t>
  </si>
  <si>
    <t>Verkäufer</t>
  </si>
  <si>
    <t>Anna</t>
  </si>
  <si>
    <t>Marie</t>
  </si>
  <si>
    <t>Bier</t>
  </si>
  <si>
    <t>Wein</t>
  </si>
  <si>
    <t>Soda</t>
  </si>
  <si>
    <t>Weitere Fragen zu Excel?</t>
  </si>
  <si>
    <t>Drücken Sie ALT+Q, und geben Sie ein, was Sie wissen möchten</t>
  </si>
  <si>
    <t>Machen Sie weiter. Es gibt noch mehr über Excel zu lernen:</t>
  </si>
  <si>
    <t xml:space="preserve">LinkedIn Learning: Video-Kurse für alle Stufen – vom Anfänger bis zum Fortgeschrittenen. Für das Selbststudium.
</t>
  </si>
  <si>
    <t xml:space="preserve">Community: Stellen Sie Fragen, und setzen Sie sich mit anderen Excel-Fans in Verbindung.
</t>
  </si>
  <si>
    <t xml:space="preserve">Sonstige Neuigkeiten
Office 365-Abonnenten erhalten fortlaufend Updates und neue Features.
</t>
  </si>
  <si>
    <t>In nur 10 Schritten machen wir Sie mit Excel vertraut, der beliebtesten 
Tabellenkalkulationsanwendung weltweit.</t>
  </si>
  <si>
    <t>Row Labels</t>
  </si>
  <si>
    <t>Grand Total</t>
  </si>
  <si>
    <t>Navigieren Sie zu Zelle A89, um die nächste Anweisung zu erhalten.</t>
  </si>
  <si>
    <t>Navigieren Sie zu Zelle A69, um die nächste Anweisung zu erhalten.</t>
  </si>
  <si>
    <t>Ausfüllen benachbarter Zellen mit einer Formel</t>
  </si>
  <si>
    <t>Und so funktioniert die Formel "=RECHTS(C56;LÄNGE(C56)-SUCHEN(" ";C56))":</t>
  </si>
  <si>
    <t xml:space="preserve">Wählen Sie die Zelle G56 aus: Giselle. Hier haben wir fast die gleiche Formel wie in Zelle A56 verwendet, anstatt jedoch Zeichen aus C56 zu extrahieren, extrahiert sie sie aus F56. 
</t>
  </si>
  <si>
    <t xml:space="preserve">Wählen Sie Zelle H56 aus: Faber. Dies ist die gleiche Formel wie in Zelle A62, sie extrahiert jedoch Zeichen aus F56 statt aus Zelle C56. </t>
  </si>
  <si>
    <t>Navigieren Sie zu Zelle A59, um die nächste Anweisung zu erhalten.</t>
  </si>
  <si>
    <t>Navigieren Sie zu Zelle A78, um die nächste Anweisung zu erhalten.</t>
  </si>
  <si>
    <t>Transponieren (Vertauschen) von Daten aus Spalten in Zeilen oder umgekehrt</t>
  </si>
  <si>
    <t>Erstellen einer Matrixformel (Arrayformel)</t>
  </si>
  <si>
    <t>Tiefer einsteigen und mehr Details erfahren: Navigieren Sie zu A29. Oder drücken Sie STRG+NACH-UNTEN-TASTE, um mit dem nächsten Schritt fortzufahren.</t>
  </si>
  <si>
    <t>Sortieren von Daten in einem Bereich oder in einer Tabelle</t>
  </si>
  <si>
    <t>Navigieren Sie zu Zelle A73, um die nächste Anweisung zu erhalten.</t>
  </si>
  <si>
    <t>Bilden von Gesamtergebnissen in einer Excel-Tabelle</t>
  </si>
  <si>
    <t xml:space="preserve">Verwenden berechneter Spalten in einer Excel-Tabelle
</t>
  </si>
  <si>
    <t>Navigieren Sie zu Zelle A65, um die nächste Anweisung zu erhalten.</t>
  </si>
  <si>
    <t>WISSENSWERTES: Dropdownlisten helfen Ihnen sicherzustellen, dass Benutzer gültige Daten eingeben. Daher ist es sinnvoll, dass Dropdownlisten einen Teil einer größeren Gruppe von Features bilden, die als Datenüberprüfung bezeichnet werden. 
Es gibt andere Methoden zur Datenüberprüfung. Beispielsweise können Sie Eingaben auf ganze Zahlen, Datumswerte oder sogar Mindest- oder Höchstbeträge einschränken. Viele Optionen stehen zur Verfügung, und Sie können mehr darüber erfahren, indem Sie den Link in Zelle A66 auswählen.</t>
  </si>
  <si>
    <t>Erstellen von Dropdownlisten</t>
  </si>
  <si>
    <t>Tiefer einsteigen und mehr Details erfahren: Navigieren Sie zu A28. Oder drücken Sie STRG+NACH-UNTEN-TASTE, um mit dem nächsten Schritt fortzufahren.</t>
  </si>
  <si>
    <t>Navigieren Sie zu Zelle A70, um die nächste Anweisung zu erhalten.</t>
  </si>
  <si>
    <t>Schritte zum Erstellen eines Diagramms</t>
  </si>
  <si>
    <t>Verwenden der Feldliste, um Felder in einer PivotTable anzuordnen</t>
  </si>
  <si>
    <t>Gesamt:</t>
  </si>
  <si>
    <t>Drücken Sie ALT+V, um die Registerkarte "Daten" oberhalb des Menübands zu öffnen, und drücken Sie dann T2, um im Abschnitt "Datentools" den Befehl "Text in Spalten" auszuwählen. Der Textkonvertierungs-Assistent – Schritt 1 von 3 wird angezeigt. Achten Sie darauf, dass das Optionsfeld "Getrennt" aktiviert ist, und drücken Sie die EINGABETASTE. Verwenden Sie die TAB-Taste, um im Dialogfeld zu navigieren.</t>
  </si>
  <si>
    <t>EINE UNTERSUCHUNG WERT: Es gibt eine andere Möglichkeit, mit Daten zu arbeiten. Sie können eine externe Quelle abfragen und die aus der Quelle stammenden Daten aufteilen. Das brauchen Sie nur einmal auszuführen, anschließend sind die Daten aktualisierbar und leicht zu verwenden. Neugierig? Wählen Sie die Registerkarte "Daten" aus (ALT+V), und untersuchen Sie dann die Optionen im Bereich "Abrufen und transformieren" (drücken Sie eine der folgenden Tastenkombinationen: D1, A1, M, T1, 6 oder O). Oder navigieren Sie zu Zelle A90, um weitere Informationen aus dem Web anzuzeigen.</t>
  </si>
  <si>
    <t>Navigieren Sie zu Zelle E56: Yvonne. Wir haben die Funktion LINKS verwendet, um Zeichen von der linken Seite von Zelle C56 zu extrahieren. Und um die Anzahl der zu extrahierenden Zeichen anzugeben, haben wir die Funktion SUCHEN verwendet. Und so funktioniert die Formel "=LINKS(C56;SUCHEN(" ";C56)-1)":</t>
  </si>
  <si>
    <t>Die Zellen C5 bis G13 enthalten fünf Spalten: Abteilung, Kategorien und Beträge für die Monate "Okt.", "Nov.", "Dez.".</t>
  </si>
  <si>
    <t>Nun wechseln Sie zu Zelle D32 und drücken ALT+NACH-UNTEN-TASTE. Die Dropdownliste enthält nur drei Abteilung: Obst und Gemüse, Fleischwaren und Backwaren. Wenn Sie aber in Spalte F unter Zelle F35 eine neue Abteilung hinzufügen: "Backwaren", wird die Liste mit der neuen Abteilung aktualisiert. Probieren Sie es aus.</t>
  </si>
  <si>
    <t xml:space="preserve">Einmal angenommen, Sie möchten die Abteilung in alphabetischer Reihenfolge anzeigen. Wählen Sie die Spalte "Abteilung" aus, navigieren Sie zu Zelle C5. Drücken Sie STRG+G, geben Sie "C5" ein, und drücken Sie die EINGABETASTE. Drücken Sie jetzt ALT+R, um zur Registerkarte "Daten" oberhalb des Menübands zu gelangen, und drücken Sie dann OS, um die Optionen zum Sortieren und Filtern zu öffnen. Verwenden Sie die Pfeiltasten, um die Option zum Sortieren von A bis Z zu suchen, oder drücken Sie S und dann die EINGABETASTE. </t>
  </si>
  <si>
    <t xml:space="preserve">Sortieren Sie die Beträge für Dezember vom größten bis zum kleinsten. Wählen Sie die Zelle der Dezemberspalte aus, indem Sie zu G5 navigieren, und wählen Sie anschließend die Zellen G5 bis G13 aus. Drücken Sie ALT+R, um zur Registerkarte "Daten" oberhalb des Menübands zu gelangen, und drücken Sie dann OS, um die Optionen zum Sortieren und Filtern zu öffnen. Beachten Sie, dass sich die Optionen von "Von A bis Z sortieren" in "Nach Größe (aufsteigend)" geändert haben. Verwenden Sie die Pfeiltasten, um die Option zum Sortieren nach Größe (absteigend) zu suchen, und drücken Sie dann die EINGABETASTE. </t>
  </si>
  <si>
    <t>Und nun filtern Sie die Daten, sodass nur die Zeilen für Backwaren angezeigt werden. Navigieren Sie zu Zelle G5, Dez. Drücken Sie STRG+A, um alle Zellen auszuwählen, und drücken Sie dann ALT+R, um die Registerkarte "Daten" zu öffnen. Drücken Sie OS, um die Optionen zum Sortieren und Filtern zu öffnen, und verwenden Sie dann die Pfeiltasten, um die Filteroption zu suchen, oder drücken Sie F.</t>
  </si>
  <si>
    <t>Fügen Sie jetzt einen zweiten Filter hinzu. Navigieren Sie zu Zelle E49: Essen Drücken Sie ALT+NACH-UNTEN-TASTE, und verwenden Sie dann die Pfeiltasten, um die Option "Zahlenfilter" zu suchen. Drücken Sie die NACH-RECHTS-TASTE, um die Liste der Zahlenfilter zu öffnen. Verwenden Sie die Pfeiltasten, um die Option "Größer als..." zu suchen, geben Sie dann 25 ein, und drücken Sie die EINGABETASTE. In den drei Zeilen, die als über dem Durchschnitt liegend gefiltert wurden, zeigt Excel zwei Zeilen mit Beträgen für Essen größer als 25 an.</t>
  </si>
  <si>
    <t>Die Zellen D67 bis F73 enthalten Daten in drei Spalten: Datum, Konferenzteilnahme und Essenumsatz. Die Spalte "Essenumsatz" enthält Daten zur Unterstützung der Sekundärachse für das oben beschriebene Diagramm.</t>
  </si>
  <si>
    <t xml:space="preserve">BONUSAUFGABE: Versuchen Sie, ein Verbunddiagramm zu erstellen. Wählen Sie die gesamte Tabelle aus, von Zelle D67 bis zu Zelle F73. Verwenden Sie die Option zur Schnellanalyse, STRG+Q, um die Option "Diagramme" zu finden. Drücken Sie die TAB-Taste, um die Option "Diagramme zu öffnen, und drücken Sie dann die NACH-RECHTS-TASTE, um "Weitere..." auszuwählen. Die Option "Empfohlene Diagramme" wird angezeigt. Drücken Sie die NACH-RECHTS-TASTE, um die Registerkarte "Alle Diagramme" auszuwählen, und drücken Sie dann die NACH-UNTEN-TASTE, bis Sie die Option "Verbund" finden, die unten aufgelistet ist. Drücken Sie zweimal die TAB-Taste, um den Datenreihennamen einzugeben: . Drücken Sie zwei Mal die NACH-UNTEN-TASTE, um "Essenumsatz" zu suchen, und drücken Sie anschließend zwei Mal die TAB-Taste, um die Option "Sekundärachse" auszuwählen. Drücken Sie die LEERTASTE, um diese Option zu aktivieren, und drücken Sie dann die EINGABETASTE. 
</t>
  </si>
  <si>
    <t>Essenumsatz</t>
  </si>
  <si>
    <t>Die Zellen C31 bis F31 enthalten Daten in vier Spalten: Datum der Ausgabe, Mitarbeiter, Essen und Hotel</t>
  </si>
  <si>
    <t>Die Zellen C49 bis F49 enthalten Daten in vier Spalten: Datum der Ausgabe, Mitarbeiter, Essen und Hotel</t>
  </si>
  <si>
    <t>Geben Sie "=Gesamt(D4:D7)" ein, und drücken Sie die EINGABETASTE.</t>
  </si>
  <si>
    <t>Addieren Sie jetzt nur die Zahlen über 50. Navigieren Sie zu Zelle D16. Geben Sie =GesamtWENN(D11:D15;"&gt;50") ein, und drücken Sie dann die EINGABETASTE. Das Ergebnis ist 100.</t>
  </si>
  <si>
    <t>BONUSAUFGABE: Die Zellen F10 bis G15 enthalten Daten in zwei Spalten: Artikel und Betrag. Navigieren Sie zu Zelle G16. Versuchen Sie, hier eine weitere GesamtWENN-Formel hinzuzufügen. Addieren Sie die Beträge in Spalte G, Zellen G11 bis G15, doch addieren Sie diesmal nur Beträge unter 100. Das Ergebnis sollte 160 sein.</t>
  </si>
  <si>
    <t xml:space="preserve">Mehr über die Gesamt-Funktion </t>
  </si>
  <si>
    <t>In einigen der oben aufgeführten Tipps haben wir Ihnen die Verwendung der Funktion Gesamt vermittelt. Hier finden Sie weitere Details dazu.</t>
  </si>
  <si>
    <t>Die Formel in Zelle D42: =Gesamt(D38:D41).</t>
  </si>
  <si>
    <t>Wenn die Funktion Gesamt in Zelle D42 sprechen könnte, würde sie wohl Folgendes sagen: Addiere die Werte in den Zellen D38, D39, D40 und D41.</t>
  </si>
  <si>
    <t>Die Formel in Zelle E54: =Gesamt(D48;G48:G51;100).</t>
  </si>
  <si>
    <t xml:space="preserve">Weitere Informationen zur GesamtWENN-Funktion </t>
  </si>
  <si>
    <t xml:space="preserve">Wir haben Ihnen oben auf diesem Blatt in den Zellen A10 und A11 auch die Funktion GesamtWENN vorgestellt. Die GesamtWENN-Funktion addiert Gesamtn auf der Grundlage eines Kriteriums. </t>
  </si>
  <si>
    <t>Die Formel in Zelle D78: =GesamtWENN(D73:D77;"&gt;50").</t>
  </si>
  <si>
    <t>Wenn die Funktion GesamtWENN sprechen könnte, würde sie wohl Folgendes sagen: Addieren einiger Werte auf der Grundlage dieses Kriteriums, Zellen D73 bis D77 durchsuchen, und wenn der Wert größer als 50 ist, zur Gesamt addieren.</t>
  </si>
  <si>
    <t>ANMERKUNG: Wenn Sie feststellen, dass Sie viele GesamtWENN-Formeln erstellen, kann sich eine PivotTable als bessere Lösung erweisen. Weitere Informationen finden Sie auf dem PivotTable-Arbeitsblatt.</t>
  </si>
  <si>
    <t xml:space="preserve">WISSENSWERTES: Navigieren Sie zu Zelle G78. Die Formel in Zelle G78: =GesamtWENN(G73:G77,"&gt;=50") unterscheidet sich von der Formel in Zelle D78. Insbesondere lautet das Gesamtnkriterium "&gt;=50", was größer als oder gleich 50 bedeutet. Es gibt andere Operatoren, die Sie verwenden können, etwa "&lt;=50", also kleiner oder gleich 50. Und es gibt auch noch "&lt;&gt;50", was "ungleich 50" bedeutet. 
</t>
  </si>
  <si>
    <t>Alles über die Gesamt-Funktion</t>
  </si>
  <si>
    <t>Alles über die GesamtWENN-Funktion</t>
  </si>
  <si>
    <t>Die Zellen C3 bis G7 enthalten Daten in fünf Spalten: Spalte "Dies:", die in jeder Zelle die Zahl 50 enthält; Spalte "Plus dies:", die die Zahlen 50, 60, 70 und 80 enthält; Spalte "Gleich:", in der Zelle E4 die Gesamt der Zellen C4 und D4 enthält; Spalte "Plus dies:" mit der Zahl 75 in jeder Zelle; und die Spalte "Gleich:", in der Zelle G4 die Gesamt der Zellen E4 und F4 enthält.</t>
  </si>
  <si>
    <t>Wählen Sie die Zellen E4, E5, E6 und E7 aus, indem Sie die UMSCHALTTASTE gedrückt halten, während Sie die NACH-UNTEN-TASTE drücken, und drücken Sie dann STRG+D. Excel für die Zellen automatisch mit den Gesamtn: 110, 120 und 130. Dies wird als "nach unten Ausfüllen" bezeichnet.</t>
  </si>
  <si>
    <t>Die Zellen C33 bis H41 enthalten Daten in sechs Spalten: Abteilung, Kategorie, Okt., Nov., Dez. und Gesamt.</t>
  </si>
  <si>
    <t>Navigieren Sie zu Zelle H34: Gesamt.</t>
  </si>
  <si>
    <t xml:space="preserve">Die Formel Gesamt wird automatisch nach unten ausgefüllt, sodass Sie sich darum nicht mehr kümmern müssen. </t>
  </si>
  <si>
    <t>Eine weitere Annehmlichkeit in Tabellen sind Ergebniszeilen. Nicht Sie müssen eine Gesamt-Formel eingeben, sondern Excel kann diese Gesamt für Sie berechnen, einfach durch Umlegen eines Schalters. Und das Gleiche gilt für die Formel MITTELWERT und viele weitere Formeln. Und so funktioniert es:</t>
  </si>
  <si>
    <t xml:space="preserve">Die Gesamt von 24.000 € wird der Ergebniszeile in Zelle E62 hinzugefügt. </t>
  </si>
  <si>
    <t>Gesamt von Betrag</t>
  </si>
  <si>
    <t>Die Zellen C3 bis D15 enthalten Daten in zwei Spalten: "Essen" und "Abteilung".</t>
  </si>
  <si>
    <t>Wir möchten, dass nur drei Abteilungsnamen gültige Einträge für jedes der Lebensmittel auf der rechten Seite darstellen. Diese Abteilung sind "Obst und Gemüse", "Fleischwaren" und "Backwaren".</t>
  </si>
  <si>
    <t>Wählen Sie auf der Registerkarte "Daten" den Befehl "Datenüberprüfung" aus, oder drücken Sie ALT+V Ü, um das Dialogfeld "Datenüberprüfung" zu öffnen. Navigieren Sie mit der TAB-Taste zu "Zulassen", und wählen Sie "Liste" aus. Drücken Sie die TAB-Taste erneut.</t>
  </si>
  <si>
    <t>Wählen Sie auf der Registerkarte "Daten" den Befehl "Datenüberprüfung" aus, oder drücken Sie ALT+V Ü, um das Dialogfeld "Datenüberprüfung" zu öffnen. Navigieren Sie mit der TAB-Taste zu "Zulassen", und wählen Sie mit der NACH-UNTEN-TASTE "Liste" aus. Drücken Sie die TAB-Taste erneut.</t>
  </si>
  <si>
    <t>Ein beliebtes Beispiel ist das Diagramm rechts, das in Zelle D52 beginnt. Es handelt sich um das gleiche Diagramm wie oben, jedoch mit einer zusätzlichen Sekundärachse, die die Umsatzbeträge für die einzelnen Monate darstellt. Man könnte es auch so ausdrücken, dass Sie durch die Verwendung einer Sekundärachse fast "zwei Diagramme in einem" erhalten.” Das stimmt. Dieses Diagramm ist zugleich ein Säulendiagramm und ein Liniendiagramm. Diese Art von Diagrammen wird in Excel als Verbunddiagramm bezeichnet. Wenn Sie sich für diesen Diagrammtyp interessieren, wählen Sie den Link in Zelle A72 aus.</t>
  </si>
  <si>
    <t xml:space="preserve">Drücken Sie UMSCHALT + F6, bis Sie den Bereich "PivotTable-Felder" öffnen. Wenn der Bereich nicht geöffnet ist, drücken Sie alt + JY und dann L, um den Bereich "PivotTable-Felder" zu starten. Der Fokus liegt standardmäßig auf dem Textfeld „Suchen“: "Geben Sie Wörter ein, die zur Bearbeitung gesucht werden sollen". Drücken Sie die Tab-Taste, bis Sie die Schaltfläche „Produkt“ erreichen. Drücken Sie die LEERTASTE, um das Kontextmenü zu öffnen, und drücken Sie dann die NACH-UNTEN-TASTE, bis Sie zum Feld "Entfernen" gelangen. Drücken Sie die EINGABETASTE.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</si>
</sst>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0\ &quot;€&quot;;\-#,##0\ &quot;€&quot;"/>
    <numFmt numFmtId="6" formatCode="#,##0\ &quot;€&quot;;[Red]\-#,##0\ &quot;€&quot;"/>
    <numFmt numFmtId="42" formatCode="_-* #,##0\ &quot;€&quot;_-;\-* #,##0\ &quot;€&quot;_-;_-* &quot;-&quot;\ &quot;€&quot;_-;_-@_-"/>
    <numFmt numFmtId="164" formatCode="_(* #,##0_);_(* \(#,##0\);_(* &quot;-&quot;_);_(@_)"/>
    <numFmt numFmtId="165" formatCode="_(* #,##0.00_);_(* \(#,##0.00\);_(* &quot;-&quot;??_);_(@_)"/>
    <numFmt numFmtId="166" formatCode="yyyy;@"/>
    <numFmt numFmtId="167" formatCode="#,##0\ &quot;€&quot;;[Red]#,##0\ &quot;€&quot;"/>
  </numFmts>
  <fonts count="29"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11"/>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2" fillId="3" borderId="0"/>
    <xf numFmtId="0" fontId="2" fillId="5" borderId="10"/>
    <xf numFmtId="0" fontId="2" fillId="3" borderId="1"/>
    <xf numFmtId="0" fontId="2" fillId="0" borderId="8"/>
    <xf numFmtId="5" fontId="17" fillId="0" borderId="0" applyBorder="0" applyAlignment="0" applyProtection="0"/>
    <xf numFmtId="0" fontId="8" fillId="0" borderId="0"/>
    <xf numFmtId="0" fontId="12" fillId="0" borderId="0" applyFill="0" applyBorder="0">
      <alignment wrapText="1"/>
    </xf>
    <xf numFmtId="42" fontId="2" fillId="0" borderId="0" applyFont="0" applyFill="0" applyBorder="0" applyAlignment="0" applyProtection="0"/>
    <xf numFmtId="0" fontId="15" fillId="6" borderId="0" applyNumberFormat="0" applyBorder="0" applyProtection="0">
      <alignment horizontal="left" indent="1"/>
    </xf>
    <xf numFmtId="0" fontId="16" fillId="6" borderId="0" applyNumberFormat="0" applyProtection="0">
      <alignment horizontal="left" wrapText="1" indent="4"/>
    </xf>
    <xf numFmtId="0" fontId="12" fillId="6" borderId="0" applyNumberFormat="0" applyProtection="0">
      <alignment horizontal="left" wrapText="1" indent="4"/>
    </xf>
    <xf numFmtId="0" fontId="8" fillId="2" borderId="0" applyNumberFormat="0" applyBorder="0" applyProtection="0"/>
    <xf numFmtId="0" fontId="9" fillId="0" borderId="0" applyNumberFormat="0" applyFill="0" applyBorder="0" applyAlignment="0" applyProtection="0"/>
    <xf numFmtId="0" fontId="2" fillId="0" borderId="11" applyNumberFormat="0" applyFont="0" applyFill="0" applyAlignment="0"/>
    <xf numFmtId="0" fontId="2" fillId="0" borderId="3" applyNumberFormat="0" applyFont="0" applyFill="0" applyAlignment="0"/>
    <xf numFmtId="0" fontId="2" fillId="0" borderId="4" applyNumberFormat="0" applyFont="0" applyFill="0" applyAlignment="0"/>
    <xf numFmtId="0" fontId="2" fillId="0" borderId="6" applyNumberFormat="0" applyFont="0" applyFill="0" applyAlignment="0"/>
    <xf numFmtId="0" fontId="2" fillId="0" borderId="5" applyNumberFormat="0" applyFont="0" applyFill="0"/>
    <xf numFmtId="0" fontId="2" fillId="0" borderId="7" applyNumberFormat="0" applyFont="0" applyFill="0" applyAlignment="0"/>
    <xf numFmtId="167" fontId="2" fillId="4" borderId="0" applyFont="0" applyBorder="0" applyAlignment="0"/>
    <xf numFmtId="14" fontId="17" fillId="0" borderId="0" applyFill="0" applyBorder="0" applyAlignment="0"/>
    <xf numFmtId="166" fontId="2" fillId="0" borderId="0" applyFont="0" applyFill="0" applyBorder="0" applyAlignment="0"/>
    <xf numFmtId="0" fontId="18" fillId="0" borderId="0" applyNumberFormat="0" applyFill="0" applyBorder="0" applyAlignment="0" applyProtection="0"/>
    <xf numFmtId="0" fontId="4" fillId="0" borderId="0" applyNumberForma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9" fillId="7" borderId="0" applyNumberFormat="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12" applyNumberFormat="0" applyAlignment="0" applyProtection="0"/>
    <xf numFmtId="0" fontId="23" fillId="11" borderId="13" applyNumberFormat="0" applyAlignment="0" applyProtection="0"/>
    <xf numFmtId="0" fontId="24" fillId="11" borderId="12" applyNumberFormat="0" applyAlignment="0" applyProtection="0"/>
    <xf numFmtId="0" fontId="25" fillId="0" borderId="14" applyNumberFormat="0" applyFill="0" applyAlignment="0" applyProtection="0"/>
    <xf numFmtId="0" fontId="26" fillId="12" borderId="15" applyNumberFormat="0" applyAlignment="0" applyProtection="0"/>
    <xf numFmtId="0" fontId="27" fillId="0" borderId="0" applyNumberFormat="0" applyFill="0" applyBorder="0" applyAlignment="0" applyProtection="0"/>
    <xf numFmtId="0" fontId="17" fillId="13" borderId="10" applyNumberFormat="0" applyFont="0" applyAlignment="0" applyProtection="0"/>
    <xf numFmtId="0" fontId="28" fillId="0" borderId="0" applyNumberFormat="0" applyFill="0" applyBorder="0" applyAlignment="0" applyProtection="0"/>
    <xf numFmtId="0" fontId="9" fillId="0" borderId="16" applyNumberFormat="0" applyFill="0" applyAlignment="0" applyProtection="0"/>
    <xf numFmtId="0" fontId="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8"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cellStyleXfs>
  <cellXfs count="56">
    <xf numFmtId="0" fontId="0" fillId="0" borderId="0" xfId="0"/>
    <xf numFmtId="0" fontId="7" fillId="0" borderId="0" xfId="0" applyFont="1"/>
    <xf numFmtId="0" fontId="6" fillId="0" borderId="0" xfId="0" applyFont="1"/>
    <xf numFmtId="0" fontId="0" fillId="0" borderId="0" xfId="0" applyAlignment="1">
      <alignment horizontal="left"/>
    </xf>
    <xf numFmtId="0" fontId="5" fillId="0" borderId="0" xfId="0" applyFont="1" applyAlignment="1">
      <alignment horizontal="left"/>
    </xf>
    <xf numFmtId="0" fontId="0" fillId="3" borderId="0" xfId="0" applyFill="1"/>
    <xf numFmtId="0" fontId="2" fillId="3" borderId="0" xfId="3"/>
    <xf numFmtId="0" fontId="2" fillId="5" borderId="10" xfId="4"/>
    <xf numFmtId="0" fontId="0" fillId="3" borderId="0" xfId="3" applyFont="1"/>
    <xf numFmtId="0" fontId="8" fillId="2" borderId="0" xfId="0" applyFont="1" applyFill="1"/>
    <xf numFmtId="0" fontId="0" fillId="0" borderId="2" xfId="0" applyBorder="1"/>
    <xf numFmtId="0" fontId="0" fillId="0" borderId="9" xfId="0" applyBorder="1"/>
    <xf numFmtId="0" fontId="0" fillId="0" borderId="0" xfId="0" pivotButton="1"/>
    <xf numFmtId="0" fontId="10" fillId="0" borderId="0" xfId="0" applyFont="1"/>
    <xf numFmtId="0" fontId="11" fillId="0" borderId="0" xfId="0" applyFont="1"/>
    <xf numFmtId="0" fontId="11" fillId="0" borderId="0" xfId="0" applyFont="1" applyAlignment="1">
      <alignment vertical="center"/>
    </xf>
    <xf numFmtId="0" fontId="8" fillId="0" borderId="0" xfId="8"/>
    <xf numFmtId="0" fontId="12" fillId="6" borderId="0" xfId="9" applyFill="1">
      <alignment wrapText="1"/>
    </xf>
    <xf numFmtId="0" fontId="3" fillId="0" borderId="0" xfId="0" applyFont="1"/>
    <xf numFmtId="0" fontId="3" fillId="0" borderId="0" xfId="0" applyFont="1" applyAlignment="1">
      <alignment horizontal="left"/>
    </xf>
    <xf numFmtId="0" fontId="3" fillId="5" borderId="10" xfId="4" applyFont="1"/>
    <xf numFmtId="0" fontId="3" fillId="3" borderId="0" xfId="3" applyFont="1"/>
    <xf numFmtId="0" fontId="3" fillId="3" borderId="1" xfId="5" applyFont="1"/>
    <xf numFmtId="0" fontId="3" fillId="0" borderId="0" xfId="0" applyFont="1" applyAlignment="1">
      <alignment horizontal="left" indent="1"/>
    </xf>
    <xf numFmtId="0" fontId="13" fillId="0" borderId="0" xfId="0" applyFont="1"/>
    <xf numFmtId="0" fontId="14" fillId="0" borderId="0" xfId="0" applyFont="1"/>
    <xf numFmtId="0" fontId="14" fillId="0" borderId="0" xfId="0" applyFont="1" applyAlignment="1">
      <alignment horizontal="left"/>
    </xf>
    <xf numFmtId="0" fontId="15" fillId="6" borderId="0" xfId="11">
      <alignment horizontal="left" indent="1"/>
    </xf>
    <xf numFmtId="0" fontId="16" fillId="6" borderId="0" xfId="12">
      <alignment horizontal="left" wrapText="1" indent="4"/>
    </xf>
    <xf numFmtId="0" fontId="2" fillId="3" borderId="1" xfId="5"/>
    <xf numFmtId="0" fontId="8"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0" fontId="3" fillId="3" borderId="11" xfId="16" applyFont="1" applyFill="1"/>
    <xf numFmtId="0" fontId="9" fillId="3" borderId="0" xfId="15" applyFill="1"/>
    <xf numFmtId="0" fontId="8" fillId="2" borderId="0" xfId="14" applyNumberFormat="1" applyBorder="1"/>
    <xf numFmtId="0" fontId="0" fillId="0" borderId="6" xfId="0" applyBorder="1"/>
    <xf numFmtId="0" fontId="0" fillId="0" borderId="7" xfId="18" applyFont="1" applyFill="1" applyBorder="1"/>
    <xf numFmtId="0" fontId="8" fillId="2" borderId="0" xfId="14" applyBorder="1"/>
    <xf numFmtId="0" fontId="8" fillId="0" borderId="0" xfId="8" applyAlignment="1">
      <alignment wrapText="1"/>
    </xf>
    <xf numFmtId="0" fontId="12" fillId="6" borderId="0" xfId="13">
      <alignment horizontal="left" wrapText="1" indent="4"/>
    </xf>
    <xf numFmtId="5" fontId="17" fillId="3" borderId="0" xfId="7" applyFill="1"/>
    <xf numFmtId="42" fontId="0" fillId="0" borderId="0" xfId="0" applyNumberFormat="1"/>
    <xf numFmtId="0" fontId="1" fillId="3" borderId="0" xfId="3" applyFont="1"/>
    <xf numFmtId="6" fontId="0" fillId="0" borderId="0" xfId="0" applyNumberFormat="1"/>
    <xf numFmtId="6" fontId="0" fillId="4" borderId="0" xfId="22" applyNumberFormat="1" applyFont="1"/>
    <xf numFmtId="14" fontId="17" fillId="0" borderId="0" xfId="23"/>
    <xf numFmtId="5" fontId="17" fillId="0" borderId="0" xfId="7"/>
  </cellXfs>
  <cellStyles count="66">
    <cellStyle name="20 % - Akzent1" xfId="43" builtinId="30" customBuiltin="1"/>
    <cellStyle name="20 % - Akzent2" xfId="47" builtinId="34" customBuiltin="1"/>
    <cellStyle name="20 % - Akzent3" xfId="51" builtinId="38" customBuiltin="1"/>
    <cellStyle name="20 % - Akzent4" xfId="55" builtinId="42" customBuiltin="1"/>
    <cellStyle name="20 % - Akzent5" xfId="59" builtinId="46" customBuiltin="1"/>
    <cellStyle name="20 % - Akzent6" xfId="63" builtinId="50" customBuiltin="1"/>
    <cellStyle name="40 % - Akzent1" xfId="44" builtinId="31" customBuiltin="1"/>
    <cellStyle name="40 % - Akzent2" xfId="48" builtinId="35" customBuiltin="1"/>
    <cellStyle name="40 % - Akzent3" xfId="52" builtinId="39" customBuiltin="1"/>
    <cellStyle name="40 % - Akzent4" xfId="56" builtinId="43" customBuiltin="1"/>
    <cellStyle name="40 % - Akzent5" xfId="60" builtinId="47" customBuiltin="1"/>
    <cellStyle name="40 % - Akzent6" xfId="64" builtinId="51" customBuiltin="1"/>
    <cellStyle name="60 % - Akzent1" xfId="45" builtinId="32" customBuiltin="1"/>
    <cellStyle name="60 % - Akzent2" xfId="49" builtinId="36" customBuiltin="1"/>
    <cellStyle name="60 % - Akzent3" xfId="53" builtinId="40" customBuiltin="1"/>
    <cellStyle name="60 % - Akzent4" xfId="57" builtinId="44" customBuiltin="1"/>
    <cellStyle name="60 % - Akzent5" xfId="61" builtinId="48" customBuiltin="1"/>
    <cellStyle name="60 % - Akzent6" xfId="65" builtinId="52" customBuiltin="1"/>
    <cellStyle name="Akzent1" xfId="42" builtinId="29" customBuiltin="1"/>
    <cellStyle name="Akzent2" xfId="46" builtinId="33" customBuiltin="1"/>
    <cellStyle name="Akzent3" xfId="50" builtinId="37" customBuiltin="1"/>
    <cellStyle name="Akzent4" xfId="54" builtinId="41" customBuiltin="1"/>
    <cellStyle name="Akzent5" xfId="58" builtinId="45" customBuiltin="1"/>
    <cellStyle name="Akzent6" xfId="62" builtinId="49" customBuiltin="1"/>
    <cellStyle name="Ausgabe" xfId="34" builtinId="21" customBuiltin="1"/>
    <cellStyle name="Berechnung" xfId="35" builtinId="22" customBuiltin="1"/>
    <cellStyle name="Besuchter Hyperlink" xfId="1" builtinId="9" hidden="1"/>
    <cellStyle name="Besuchter Hyperlink" xfId="2" builtinId="9" hidden="1"/>
    <cellStyle name="Besuchter Hyperlink" xfId="26" builtinId="9" customBuiltin="1"/>
    <cellStyle name="Datum" xfId="23" xr:uid="{00000000-0005-0000-0000-00001D000000}"/>
    <cellStyle name="Dezimal [0]" xfId="28" builtinId="6" customBuiltin="1"/>
    <cellStyle name="Eingabe" xfId="33" builtinId="20" customBuiltin="1"/>
    <cellStyle name="Einstiegstext" xfId="9" xr:uid="{00000000-0005-0000-0000-000020000000}"/>
    <cellStyle name="Ergebnis" xfId="41" builtinId="25" customBuiltin="1"/>
    <cellStyle name="Erklärender Text" xfId="40" builtinId="53" customBuiltin="1"/>
    <cellStyle name="GelbeZelle" xfId="4" xr:uid="{00000000-0005-0000-0000-000023000000}"/>
    <cellStyle name="GraueZelle" xfId="3" xr:uid="{00000000-0005-0000-0000-000024000000}"/>
    <cellStyle name="Grüne Rahmenlinie links" xfId="17" xr:uid="{00000000-0005-0000-0000-000025000000}"/>
    <cellStyle name="Grüne Rahmenlinie rechts" xfId="18" xr:uid="{00000000-0005-0000-0000-000026000000}"/>
    <cellStyle name="Grüne Rahmenlinie unten" xfId="19" xr:uid="{00000000-0005-0000-0000-000027000000}"/>
    <cellStyle name="Grüne Rahmenlinie unten links" xfId="20" xr:uid="{00000000-0005-0000-0000-000028000000}"/>
    <cellStyle name="Grüne Rahmenlinie unten rechts" xfId="21" xr:uid="{00000000-0005-0000-0000-000029000000}"/>
    <cellStyle name="Gut" xfId="30" builtinId="26" customBuiltin="1"/>
    <cellStyle name="Hervorheben" xfId="22" xr:uid="{00000000-0005-0000-0000-00002B000000}"/>
    <cellStyle name="Jahr" xfId="24" xr:uid="{00000000-0005-0000-0000-00002C000000}"/>
    <cellStyle name="Komma" xfId="27" builtinId="3" customBuiltin="1"/>
    <cellStyle name="Link" xfId="25" builtinId="8" customBuiltin="1"/>
    <cellStyle name="Neutral" xfId="32" builtinId="28" customBuiltin="1"/>
    <cellStyle name="Notiz" xfId="39" builtinId="10" customBuiltin="1"/>
    <cellStyle name="OrangeBorder" xfId="5" xr:uid="{00000000-0005-0000-0000-000031000000}"/>
    <cellStyle name="Prozent" xfId="29" builtinId="5" customBuiltin="1"/>
    <cellStyle name="Rahmenlinie links" xfId="6" xr:uid="{00000000-0005-0000-0000-000033000000}"/>
    <cellStyle name="Rahmenlinie unten" xfId="16" xr:uid="{00000000-0005-0000-0000-000034000000}"/>
    <cellStyle name="Schlecht" xfId="31" builtinId="27" customBuiltin="1"/>
    <cellStyle name="Spaltentext Z-A" xfId="8" xr:uid="{00000000-0005-0000-0000-000036000000}"/>
    <cellStyle name="Standard" xfId="0" builtinId="0" customBuiltin="1"/>
    <cellStyle name="Überschrift" xfId="11" builtinId="15" customBuiltin="1"/>
    <cellStyle name="Überschrift 1" xfId="12" builtinId="16" customBuiltin="1"/>
    <cellStyle name="Überschrift 2" xfId="13" builtinId="17" customBuiltin="1"/>
    <cellStyle name="Überschrift 3" xfId="14" builtinId="18" customBuiltin="1"/>
    <cellStyle name="Überschrift 4" xfId="15" builtinId="19" customBuiltin="1"/>
    <cellStyle name="Verknüpfte Zelle" xfId="36" builtinId="24" customBuiltin="1"/>
    <cellStyle name="Währung" xfId="7" builtinId="4" customBuiltin="1"/>
    <cellStyle name="Währung [0]" xfId="10" builtinId="7" customBuiltin="1"/>
    <cellStyle name="Warnender Text" xfId="38" builtinId="11" customBuiltin="1"/>
    <cellStyle name="Zelle überprüfen" xfId="37" builtinId="23" customBuiltin="1"/>
  </cellStyles>
  <dxfs count="31">
    <dxf>
      <font>
        <b val="0"/>
        <i val="0"/>
        <strike val="0"/>
        <condense val="0"/>
        <extend val="0"/>
        <outline val="0"/>
        <shadow val="0"/>
        <u val="none"/>
        <vertAlign val="baseline"/>
        <sz val="11"/>
        <color theme="1"/>
        <name val="Calibri"/>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protection locked="1" hidden="0"/>
    </dxf>
    <dxf>
      <font>
        <b val="0"/>
        <i val="0"/>
        <strike val="0"/>
        <condense val="0"/>
        <extend val="0"/>
        <outline val="0"/>
        <shadow val="0"/>
        <u val="none"/>
        <vertAlign val="baseline"/>
        <sz val="11"/>
        <color theme="1"/>
        <name val="Calibri"/>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protection locked="1" hidden="0"/>
    </dxf>
    <dxf>
      <numFmt numFmtId="32" formatCode="_-* #,##0\ &quot;€&quot;_-;\-* #,##0\ &quot;€&quot;_-;_-* &quot;-&quot;\ &quot;€&quot;_-;_-@_-"/>
    </dxf>
    <dxf>
      <numFmt numFmtId="32" formatCode="_-* #,##0\ &quot;€&quot;_-;\-* #,##0\ &quot;€&quot;_-;_-* &quot;-&quot;\ &quot;€&quot;_-;_-@_-"/>
    </dxf>
    <dxf>
      <numFmt numFmtId="168" formatCode="&quot;$&quot;#,##0_);\(&quot;$&quot;#,##0\)"/>
    </dxf>
    <dxf>
      <alignment horizontal="general" vertical="bottom" textRotation="0" wrapText="0" indent="0" justifyLastLine="0" shrinkToFit="0" readingOrder="0"/>
    </dxf>
    <dxf>
      <numFmt numFmtId="9" formatCode="#,##0\ &quot;€&quot;;\-#,##0\ &quot;€&quot;"/>
    </dxf>
    <dxf>
      <font>
        <b val="0"/>
        <i val="0"/>
        <strike val="0"/>
        <condense val="0"/>
        <extend val="0"/>
        <outline val="0"/>
        <shadow val="0"/>
        <u val="none"/>
        <vertAlign val="baseline"/>
        <sz val="11"/>
        <color auto="1"/>
        <name val="Calibri"/>
        <family val="2"/>
        <scheme val="minor"/>
      </font>
      <numFmt numFmtId="9" formatCode="#,##0\ &quot;€&quot;;\-#,##0\ &quot;€&quo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numFmt numFmtId="9" formatCode="#,##0\ &quot;€&quot;;\-#,##0\ &quot;€&quot;"/>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FormatvorlageBenutzerdefinierteTabelle" defaultPivotStyle="PivotStyleLight16">
    <tableStyle name="FormatvorlageBenutzerdefinierteTabelle" pivot="0" count="2" xr9:uid="{00000000-0011-0000-FFFF-FFFF00000000}">
      <tableStyleElement type="headerRow" dxfId="30"/>
      <tableStyleElement type="firstRowStripe" dxfId="29"/>
    </tableStyle>
    <tableStyle name="PivotTable-Formatvorlage 1" table="0" count="2" xr9:uid="{00000000-0011-0000-FFFF-FFFF01000000}">
      <tableStyleElement type="headerRow" dxfId="28"/>
      <tableStyleElement type="totalRow" dxfId="27"/>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Diagramme'!$E$67</c:f>
              <c:strCache>
                <c:ptCount val="1"/>
                <c:pt idx="0">
                  <c:v>Konferenzteilnahme</c:v>
                </c:pt>
              </c:strCache>
            </c:strRef>
          </c:tx>
          <c:spPr>
            <a:solidFill>
              <a:schemeClr val="accent1"/>
            </a:solidFill>
            <a:ln>
              <a:noFill/>
            </a:ln>
            <a:effectLst/>
          </c:spPr>
          <c:invertIfNegative val="0"/>
          <c:cat>
            <c:numRef>
              <c:f>'9. Diagramme'!$D$68:$D$73</c:f>
              <c:numCache>
                <c:formatCode>General</c:formatCode>
                <c:ptCount val="6"/>
                <c:pt idx="0">
                  <c:v>2019</c:v>
                </c:pt>
                <c:pt idx="1">
                  <c:v>2020</c:v>
                </c:pt>
                <c:pt idx="2">
                  <c:v>2021</c:v>
                </c:pt>
                <c:pt idx="3">
                  <c:v>2022</c:v>
                </c:pt>
                <c:pt idx="4">
                  <c:v>2023</c:v>
                </c:pt>
                <c:pt idx="5">
                  <c:v>2024</c:v>
                </c:pt>
              </c:numCache>
            </c:numRef>
          </c:cat>
          <c:val>
            <c:numRef>
              <c:f>'9. Diagramme'!$E$68:$E$73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Diagramme'!$F$67</c:f>
              <c:strCache>
                <c:ptCount val="1"/>
                <c:pt idx="0">
                  <c:v>Essenumsatz</c:v>
                </c:pt>
              </c:strCache>
            </c:strRef>
          </c:tx>
          <c:spPr>
            <a:ln w="28575" cap="rnd">
              <a:solidFill>
                <a:schemeClr val="accent2"/>
              </a:solidFill>
              <a:round/>
            </a:ln>
            <a:effectLst/>
          </c:spPr>
          <c:marker>
            <c:symbol val="none"/>
          </c:marker>
          <c:cat>
            <c:numRef>
              <c:f>'9. Diagramme'!$D$68:$D$73</c:f>
              <c:numCache>
                <c:formatCode>General</c:formatCode>
                <c:ptCount val="6"/>
                <c:pt idx="0">
                  <c:v>2019</c:v>
                </c:pt>
                <c:pt idx="1">
                  <c:v>2020</c:v>
                </c:pt>
                <c:pt idx="2">
                  <c:v>2021</c:v>
                </c:pt>
                <c:pt idx="3">
                  <c:v>2022</c:v>
                </c:pt>
                <c:pt idx="4">
                  <c:v>2023</c:v>
                </c:pt>
                <c:pt idx="5">
                  <c:v>2024</c:v>
                </c:pt>
              </c:numCache>
            </c:numRef>
          </c:cat>
          <c:val>
            <c:numRef>
              <c:f>'9. Diagramme'!$F$68:$F$73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'9. Diagramme'!$D$5</c:f>
              <c:strCache>
                <c:ptCount val="1"/>
                <c:pt idx="0">
                  <c:v>Konferenzteilnahme</c:v>
                </c:pt>
              </c:strCache>
            </c:strRef>
          </c:tx>
          <c:spPr>
            <a:solidFill>
              <a:schemeClr val="accent1"/>
            </a:solidFill>
            <a:ln>
              <a:noFill/>
            </a:ln>
            <a:effectLst/>
          </c:spPr>
          <c:invertIfNegative val="0"/>
          <c:cat>
            <c:numRef>
              <c:f>'9. Diagramme'!$C$6:$C$11</c:f>
              <c:numCache>
                <c:formatCode>General</c:formatCode>
                <c:ptCount val="6"/>
                <c:pt idx="0">
                  <c:v>2019</c:v>
                </c:pt>
                <c:pt idx="1">
                  <c:v>2020</c:v>
                </c:pt>
                <c:pt idx="2">
                  <c:v>2021</c:v>
                </c:pt>
                <c:pt idx="3">
                  <c:v>2022</c:v>
                </c:pt>
                <c:pt idx="4">
                  <c:v>2023</c:v>
                </c:pt>
                <c:pt idx="5">
                  <c:v>2024</c:v>
                </c:pt>
              </c:numCache>
            </c:numRef>
          </c:cat>
          <c:val>
            <c:numRef>
              <c:f>'9. Diagramme'!$D$6:$D$11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Hinzuf&#252;gen'!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de-DE/article/use-excel-as-your-calculator-a1abc057-ed11-443a-a635-68216555ad0a?ui=de-DE&amp;rs=en-001&amp;ad=us"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Ausf&#252;llen'!A1"/><Relationship Id="rId7" Type="http://schemas.openxmlformats.org/officeDocument/2006/relationships/hyperlink" Target="https://support.office.com/de-DE/article/sumif-function-169b8c99-c05c-4483-a712-1697a653039b?ui=de-DE&amp;rs=en-001&amp;ad=us"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Hinzuf&#252;gen'!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Hinzuf&#252;gen'!A62"/><Relationship Id="rId4" Type="http://schemas.openxmlformats.org/officeDocument/2006/relationships/hyperlink" Target="https://support.office.com/de-DE/article/sum-function-043e1c7d-7726-4e80-8f32-07b23e057f89?ui=de-DE&amp;rs=en-001&amp;ad=us" TargetMode="External"/><Relationship Id="rId9" Type="http://schemas.openxmlformats.org/officeDocument/2006/relationships/hyperlink" Target="https://support.office.com/de-DE/article/excel-for-windows-training-9bc05390-e94c-46af-a5b3-d7c22f6990bb?ui=de-DE&amp;rs=en-001&amp;ad=us"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Ausf&#252;llen'!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support.office.com/de-DE/article/fill-a-formula-down-into-adjacent-cells-041edfe2-05bc-40e6-b933-ef48c3f308c6?ui=de-DE&amp;rs=en-001&amp;ad=us" TargetMode="External"/><Relationship Id="rId2" Type="http://schemas.openxmlformats.org/officeDocument/2006/relationships/hyperlink" Target="#'3. Teilen'!A1"/><Relationship Id="rId16" Type="http://schemas.openxmlformats.org/officeDocument/2006/relationships/image" Target="../media/image16.svg"/><Relationship Id="rId1" Type="http://schemas.openxmlformats.org/officeDocument/2006/relationships/hyperlink" Target="#'2. Ausf&#252;llen'!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support.office.com/de-DE/article/fill-data-automatically-in-worksheet-cells-74e31bdd-d993-45da-aa82-35a236c5b5db?ui=de-DE&amp;rs=en-001&amp;ad=us"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de-DE/article/get-transform-in-excel-881c63c6-37c5-4ca2-b616-59e18d75b4de?ui=de-DE&amp;rs=en-001&amp;ad=us" TargetMode="External"/><Relationship Id="rId13" Type="http://schemas.openxmlformats.org/officeDocument/2006/relationships/image" Target="../media/image17.png"/><Relationship Id="rId3" Type="http://schemas.openxmlformats.org/officeDocument/2006/relationships/hyperlink" Target="#'3. Teilen'!A1"/><Relationship Id="rId7" Type="http://schemas.openxmlformats.org/officeDocument/2006/relationships/image" Target="../media/image4.svg"/><Relationship Id="rId12" Type="http://schemas.openxmlformats.org/officeDocument/2006/relationships/hyperlink" Target="https://support.office.com/de-DE/article/len-lenb-functions-29236f94-cedc-429d-affd-b5e33d2c67cb?ui=de-DE&amp;rs=en-001&amp;ad=us"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support.office.com/de-DE/article/find-findb-functions-c7912941-af2a-4bdf-a553-d0d89b0a0628?ui=de-DE&amp;rs=en-001&amp;ad=us" TargetMode="External"/><Relationship Id="rId5" Type="http://schemas.openxmlformats.org/officeDocument/2006/relationships/hyperlink" Target="https://support.office.com/de-DE/article/split-text-into-different-columns-with-the-convert-text-to-columns-wizard-30b14928-5550-41f5-97ca-7a3e9c363ed7?ui=de-DE&amp;rs=en-001&amp;ad=us" TargetMode="External"/><Relationship Id="rId15" Type="http://schemas.openxmlformats.org/officeDocument/2006/relationships/hyperlink" Target="#'3. Teilen'!A62"/><Relationship Id="rId10" Type="http://schemas.openxmlformats.org/officeDocument/2006/relationships/hyperlink" Target="https://support.office.com/de-DE/article/right-rightb-functions-240267ee-9afa-4639-a02b-f19e1786cf2f?ui=de-DE&amp;rs=en-001&amp;ad=us" TargetMode="External"/><Relationship Id="rId4" Type="http://schemas.openxmlformats.org/officeDocument/2006/relationships/hyperlink" Target="#'4. Transponieren'!A1"/><Relationship Id="rId9" Type="http://schemas.openxmlformats.org/officeDocument/2006/relationships/hyperlink" Target="https://support.office.com/de-DE/article/left-leftb-functions-9203d2d2-7960-479b-84c6-1ea52b99640c?ui=de-DE&amp;rs=en-001&amp;ad=us"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de-DE/article/transpose-rotate-data-from-rows-to-columns-or-vice-versa-3419f2e3-beab-4318-aae5-d0f862209744?ui=de-DE&amp;rs=en-001&amp;ad=us"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nieren'!A1"/><Relationship Id="rId12" Type="http://schemas.openxmlformats.org/officeDocument/2006/relationships/hyperlink" Target="https://support.office.com/de-DE/article/create-an-array-formula-e43e12e0-afc6-4a12-bc7f-48361075954d?ui=de-DE&amp;rs=en-001&amp;ad=us" TargetMode="External"/><Relationship Id="rId2" Type="http://schemas.openxmlformats.org/officeDocument/2006/relationships/hyperlink" Target="#'5. Sortieren und Filtern'!A1"/><Relationship Id="rId1" Type="http://schemas.openxmlformats.org/officeDocument/2006/relationships/hyperlink" Target="#'4. Transponieren'!A62"/><Relationship Id="rId6" Type="http://schemas.openxmlformats.org/officeDocument/2006/relationships/image" Target="../media/image23.svg"/><Relationship Id="rId11" Type="http://schemas.openxmlformats.org/officeDocument/2006/relationships/hyperlink" Target="https://support.office.com/de-DE/article/transpose-function-ed039415-ed8a-4a81-93e9-4b6dfac76027?ui=de-DE&amp;rs=en-001&amp;ad=us"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ieren und Filtern'!A1"/><Relationship Id="rId13" Type="http://schemas.openxmlformats.org/officeDocument/2006/relationships/image" Target="../media/image28.png"/><Relationship Id="rId3" Type="http://schemas.openxmlformats.org/officeDocument/2006/relationships/hyperlink" Target="#'5. Sortieren und Filtern'!A62"/><Relationship Id="rId7" Type="http://schemas.openxmlformats.org/officeDocument/2006/relationships/image" Target="../media/image8.svg"/><Relationship Id="rId12" Type="http://schemas.openxmlformats.org/officeDocument/2006/relationships/hyperlink" Target="https://support.office.com/de-DE/article/filter-data-in-a-range-or-table-01832226-31b5-4568-8806-38c37dcc180e?ui=de-DE&amp;rs=en-001&amp;ad=us"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ellen'!A1"/><Relationship Id="rId9" Type="http://schemas.openxmlformats.org/officeDocument/2006/relationships/hyperlink" Target="https://support.office.com/de-DE/article/sort-data-in-a-range-or-table-62d0b95d-2a90-4610-a6ae-2e545c4a4654?ui=de-DE&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9.png"/><Relationship Id="rId7" Type="http://schemas.openxmlformats.org/officeDocument/2006/relationships/image" Target="../media/image12.svg"/><Relationship Id="rId12" Type="http://schemas.openxmlformats.org/officeDocument/2006/relationships/hyperlink" Target="https://support.office.com/de-DE/article/overview-of-excel-tables-7ab0bb7d-3a9e-4b56-a3c9-6c94334e492c?ui=de-DE&amp;rs=en-001&amp;ad=us" TargetMode="External"/><Relationship Id="rId2" Type="http://schemas.openxmlformats.org/officeDocument/2006/relationships/hyperlink" Target="#'7. Dropdownlisten'!A1"/><Relationship Id="rId16" Type="http://schemas.openxmlformats.org/officeDocument/2006/relationships/hyperlink" Target="https://support.office.com/de-DE/article/use-calculated-columns-in-an-excel-table-873fbac6-7110-4300-8f6f-aafa2ea11ce8?ui=de-DE&amp;rs=en-001&amp;ad=us" TargetMode="External"/><Relationship Id="rId1" Type="http://schemas.openxmlformats.org/officeDocument/2006/relationships/hyperlink" Target="#'6. Tabellen'!A62"/><Relationship Id="rId6" Type="http://schemas.openxmlformats.org/officeDocument/2006/relationships/image" Target="../media/image11.png"/><Relationship Id="rId11" Type="http://schemas.openxmlformats.org/officeDocument/2006/relationships/hyperlink" Target="#'6. Tabellen'!A1"/><Relationship Id="rId5" Type="http://schemas.openxmlformats.org/officeDocument/2006/relationships/image" Target="../media/image6.svg"/><Relationship Id="rId15" Type="http://schemas.openxmlformats.org/officeDocument/2006/relationships/hyperlink" Target="https://support.office.com/de-DE/article/total-the-data-in-an-excel-table-6944378f-a222-4449-93d8-474386b11f20?ui=de-DE&amp;rs=en-001&amp;ad=us" TargetMode="External"/><Relationship Id="rId10" Type="http://schemas.openxmlformats.org/officeDocument/2006/relationships/image" Target="../media/image30.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support.office.com/de-DE/article/create-a-drop-down-list-7693307a-59ef-400a-b769-c5402dce407b?ui=de-DE&amp;rs=en-001&amp;ad=us" TargetMode="External"/><Relationship Id="rId3" Type="http://schemas.openxmlformats.org/officeDocument/2006/relationships/image" Target="../media/image31.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sieren'!A1"/><Relationship Id="rId1" Type="http://schemas.openxmlformats.org/officeDocument/2006/relationships/hyperlink" Target="#'7. Dropdownlisten'!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support.office.com/de-DE/article/apply-data-validation-to-cells-29fecbcc-d1b9-42c1-9d76-eff3ce5f7249?ui=de-DE&amp;rs=en-001&amp;ad=us" TargetMode="External"/><Relationship Id="rId4" Type="http://schemas.openxmlformats.org/officeDocument/2006/relationships/image" Target="../media/image32.png"/><Relationship Id="rId9" Type="http://schemas.openxmlformats.org/officeDocument/2006/relationships/hyperlink" Target="#'7. Dropdownlisten'!A1"/></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hyperlink" Target="https://support.office.com/de-DE/article/analyze-your-data-instantly-9e382e73-7f5e-495a-a8dc-be8225b1bb78?ui=de-DE&amp;rs=en-001&amp;ad=us" TargetMode="External"/><Relationship Id="rId7" Type="http://schemas.openxmlformats.org/officeDocument/2006/relationships/hyperlink" Target="#'8. Analysieren'!A62"/><Relationship Id="rId2" Type="http://schemas.openxmlformats.org/officeDocument/2006/relationships/hyperlink" Target="#'9. Diagramme'!A1"/><Relationship Id="rId1" Type="http://schemas.openxmlformats.org/officeDocument/2006/relationships/hyperlink" Target="#'8. Analysieren'!A1"/><Relationship Id="rId6" Type="http://schemas.openxmlformats.org/officeDocument/2006/relationships/hyperlink" Target="https://support.office.com/de-DE/article/analyze-trends-in-data-using-sparklines-be6579cf-a8e3-471a-a459-873614413ce1?ui=de-DE&amp;rs=en-001&amp;ad=us"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de-DE/article/create-a-chart-from-start-to-finish-0baf399e-dd61-4e18-8a73-b3fd5d5680c2?ui=de-DE&amp;rs=en-001&amp;ad=us" TargetMode="External"/><Relationship Id="rId3" Type="http://schemas.openxmlformats.org/officeDocument/2006/relationships/hyperlink" Target="#'9. Diagramme'!A62"/><Relationship Id="rId7" Type="http://schemas.openxmlformats.org/officeDocument/2006/relationships/hyperlink" Target="#'9. Diagramme'!A1"/><Relationship Id="rId12" Type="http://schemas.openxmlformats.org/officeDocument/2006/relationships/hyperlink" Target="https://support.office.com/de-DE/article/available-chart-types-in-office-a6187218-807e-4103-9e0a-27cdb19afb90?ui=de-DE&amp;rs=en-001&amp;ad=us"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support.office.com/de-DE/article/add-or-remove-a-secondary-axis-in-a-chart-in-excel-91da1e2f-5db1-41e9-8908-e1a2e14dd5a9?redirectsourcepath=%2farticle%2f1d119e2d-1a5f-45a4-8ad3-bacc7430c0a1&amp;ui=de-DE&amp;rs=en-001&amp;ad=us"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de-DE/article/use-the-field-list-to-arrange-fields-in-a-pivottable-43980e05-a585-4fcd-bd91-80160adfebec?ui=de-DE&amp;rs=en-001&amp;ad=us" TargetMode="External"/><Relationship Id="rId3" Type="http://schemas.openxmlformats.org/officeDocument/2006/relationships/image" Target="../media/image34.png"/><Relationship Id="rId7" Type="http://schemas.openxmlformats.org/officeDocument/2006/relationships/image" Target="../media/image4.svg"/><Relationship Id="rId2" Type="http://schemas.openxmlformats.org/officeDocument/2006/relationships/hyperlink" Target="#'Weitere Informationen'!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support.office.com/de-DE/article/create-a-pivottable-to-analyze-worksheet-data-a9a84538-bfe9-40a9-a8e9-f99134456576?ui=de-DE&amp;rs=en-001&amp;ad=us"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9.svg"/><Relationship Id="rId3" Type="http://schemas.openxmlformats.org/officeDocument/2006/relationships/hyperlink" Target="https://techcommunity.microsoft.com/t5/excel/ct-p/excel_cat" TargetMode="External"/><Relationship Id="rId7" Type="http://schemas.openxmlformats.org/officeDocument/2006/relationships/image" Target="../media/image38.png"/><Relationship Id="rId2" Type="http://schemas.openxmlformats.org/officeDocument/2006/relationships/hyperlink" Target="https://learning.linkedin.com/de-de/office?trk=par_acq_MSFThelp-excel-tc_de-template-learnmoretab-t001-link_learning&amp;src=mi-inprod&amp;veh=excel-help&amp;utm_source=microsoft&amp;utm_medium=help-integration&amp;utm_campaign=par_acq_MSFThelp-excel-tc_de-template-learnmoretab-t001-link_learning" TargetMode="External"/><Relationship Id="rId1" Type="http://schemas.openxmlformats.org/officeDocument/2006/relationships/image" Target="../media/image35.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hyperlink" Target="https://support.office.com/de-DE/article/what-s-new-in-excel-for-office-365-5fdb9208-ff33-45b6-9e08-1f5cdb3a6c73?ui=de-DE&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Bild 1" descr="Excel-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8220074" y="4613275"/>
    <xdr:ext cx="1400175" cy="514350"/>
    <xdr:sp macro="" textlink="">
      <xdr:nvSpPr>
        <xdr:cNvPr id="3" name="Schaltfläche &quot;Weiter&quot;" descr="Hyperlink-Schaltflächenform für die Navigation zum nächsten Schritt">
          <a:hlinkClick xmlns:r="http://schemas.openxmlformats.org/officeDocument/2006/relationships" r:id="rId2" tooltip="Auswählen, um die Tour zu starten"/>
          <a:extLst>
            <a:ext uri="{FF2B5EF4-FFF2-40B4-BE49-F238E27FC236}">
              <a16:creationId xmlns:a16="http://schemas.microsoft.com/office/drawing/2014/main" id="{00000000-0008-0000-0000-000003000000}"/>
            </a:ext>
          </a:extLst>
        </xdr:cNvPr>
        <xdr:cNvSpPr/>
      </xdr:nvSpPr>
      <xdr:spPr>
        <a:xfrm>
          <a:off x="8220074" y="4613275"/>
          <a:ext cx="1400175"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de"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Los geht's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176955</xdr:colOff>
      <xdr:row>40</xdr:row>
      <xdr:rowOff>89000</xdr:rowOff>
    </xdr:from>
    <xdr:to>
      <xdr:col>6</xdr:col>
      <xdr:colOff>411087</xdr:colOff>
      <xdr:row>41</xdr:row>
      <xdr:rowOff>86653</xdr:rowOff>
    </xdr:to>
    <xdr:pic>
      <xdr:nvPicPr>
        <xdr:cNvPr id="2" name="Statusleistengrafik" descr="Statusleistengrafik Summe: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8320830" y="8280500"/>
          <a:ext cx="1119957" cy="188153"/>
        </a:xfrm>
        <a:prstGeom prst="rect">
          <a:avLst/>
        </a:prstGeom>
      </xdr:spPr>
    </xdr:pic>
    <xdr:clientData/>
  </xdr:twoCellAnchor>
  <xdr:twoCellAnchor editAs="oneCell">
    <xdr:from>
      <xdr:col>0</xdr:col>
      <xdr:colOff>341064</xdr:colOff>
      <xdr:row>87</xdr:row>
      <xdr:rowOff>185107</xdr:rowOff>
    </xdr:from>
    <xdr:to>
      <xdr:col>1</xdr:col>
      <xdr:colOff>5189289</xdr:colOff>
      <xdr:row>108</xdr:row>
      <xdr:rowOff>49730</xdr:rowOff>
    </xdr:to>
    <xdr:grpSp>
      <xdr:nvGrpSpPr>
        <xdr:cNvPr id="5" name="Mehr im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41064" y="17328202"/>
          <a:ext cx="5716905" cy="3870838"/>
          <a:chOff x="323850" y="16837043"/>
          <a:chExt cx="5737224" cy="3702054"/>
        </a:xfrm>
      </xdr:grpSpPr>
      <xdr:sp macro="" textlink="">
        <xdr:nvSpPr>
          <xdr:cNvPr id="140" name="Rechteck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1" name="Schritt" descr="Weitere Informationen im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Gerader Verbinder 141" descr="Dekorative Lini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Schaltfläche &quot;Weiter&quot;" descr="Zurück zum Anfang, mit Link zur Zelle A1">
            <a:hlinkClick xmlns:r="http://schemas.openxmlformats.org/officeDocument/2006/relationships" r:id="rId2" tooltip="Auswählen, um zur Zelle A1 auf diesem Arbeitsblatt zu gelangen"/>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44" name="Gerader Verbinder 143" descr="Dekorative Lini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chaltfläche &quot;Weiter&quot;" descr="Schaltfläche zum nächsten Schritt mit Link zum nächsten Arbeitsblatt">
            <a:hlinkClick xmlns:r="http://schemas.openxmlformats.org/officeDocument/2006/relationships" r:id="rId3" tooltip="Auswählen, um zum nächsten Schritt zu wechseln"/>
            <a:extLst>
              <a:ext uri="{FF2B5EF4-FFF2-40B4-BE49-F238E27FC236}">
                <a16:creationId xmlns:a16="http://schemas.microsoft.com/office/drawing/2014/main" id="{00000000-0008-0000-0100-000091000000}"/>
              </a:ext>
            </a:extLst>
          </xdr:cNvPr>
          <xdr:cNvSpPr/>
        </xdr:nvSpPr>
        <xdr:spPr>
          <a:xfrm>
            <a:off x="4324555" y="19942951"/>
            <a:ext cx="1486695"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46" name="Schritt" descr="Alles über die SUMME-Funktion, mit Link ins Web&#10;&#10;">
            <a:hlinkClick xmlns:r="http://schemas.openxmlformats.org/officeDocument/2006/relationships" r:id="rId4" tooltip="Auswählen, um alles über die SUMME-Funktion aus dem Web zu erfahren"/>
            <a:extLst>
              <a:ext uri="{FF2B5EF4-FFF2-40B4-BE49-F238E27FC236}">
                <a16:creationId xmlns:a16="http://schemas.microsoft.com/office/drawing/2014/main" id="{00000000-0008-0000-0100-000092000000}"/>
              </a:ext>
            </a:extLst>
          </xdr:cNvPr>
          <xdr:cNvSpPr txBox="1"/>
        </xdr:nvSpPr>
        <xdr:spPr>
          <a:xfrm>
            <a:off x="1003908" y="17606489"/>
            <a:ext cx="3522122"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SUMME-Funktion</a:t>
            </a:r>
          </a:p>
        </xdr:txBody>
      </xdr:sp>
      <xdr:pic>
        <xdr:nvPicPr>
          <xdr:cNvPr id="147" name="Grafik 22" descr="Pfeil">
            <a:hlinkClick xmlns:r="http://schemas.openxmlformats.org/officeDocument/2006/relationships" r:id="rId4" tooltip="Auswählen, um weitere Informationen aus dem Web anzuzeigen"/>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chritt" descr="Alles über die SUMMEWENN-Funktion, mit Link ins Web&#10;">
            <a:hlinkClick xmlns:r="http://schemas.openxmlformats.org/officeDocument/2006/relationships" r:id="rId7" tooltip="Auswählen, um alles über die SUMMEWENN-Funktion aus dem Web zu erfahren"/>
            <a:extLst>
              <a:ext uri="{FF2B5EF4-FFF2-40B4-BE49-F238E27FC236}">
                <a16:creationId xmlns:a16="http://schemas.microsoft.com/office/drawing/2014/main" id="{00000000-0008-0000-0100-000094000000}"/>
              </a:ext>
            </a:extLst>
          </xdr:cNvPr>
          <xdr:cNvSpPr txBox="1"/>
        </xdr:nvSpPr>
        <xdr:spPr>
          <a:xfrm>
            <a:off x="1003908" y="18058397"/>
            <a:ext cx="3781161"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SUMMEWENN-Funktion</a:t>
            </a:r>
          </a:p>
        </xdr:txBody>
      </xdr:sp>
      <xdr:pic>
        <xdr:nvPicPr>
          <xdr:cNvPr id="149" name="Grafik 22" descr="Pfeil">
            <a:hlinkClick xmlns:r="http://schemas.openxmlformats.org/officeDocument/2006/relationships" r:id="rId7" tooltip="Auswählen, um weitere Informationen aus dem Web anzuzeigen"/>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chritt" descr="Verwenden von Excel als Taschenrechner, mit Link ins Web&#10;">
            <a:hlinkClick xmlns:r="http://schemas.openxmlformats.org/officeDocument/2006/relationships" r:id="rId8" tooltip="Auswählen, um Informationen aus dem Web zum Verwenden von Excel als Taschenrechner anzuzeigen"/>
            <a:extLst>
              <a:ext uri="{FF2B5EF4-FFF2-40B4-BE49-F238E27FC236}">
                <a16:creationId xmlns:a16="http://schemas.microsoft.com/office/drawing/2014/main" id="{00000000-0008-0000-0100-000096000000}"/>
              </a:ext>
            </a:extLst>
          </xdr:cNvPr>
          <xdr:cNvSpPr txBox="1"/>
        </xdr:nvSpPr>
        <xdr:spPr>
          <a:xfrm>
            <a:off x="1003908" y="18506516"/>
            <a:ext cx="3560498"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von Excel als Taschenrechner</a:t>
            </a:r>
          </a:p>
        </xdr:txBody>
      </xdr:sp>
      <xdr:pic>
        <xdr:nvPicPr>
          <xdr:cNvPr id="151"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chritt" descr="Kostenlose Excel-Schulung online, mit Link ins Web&#10;">
            <a:hlinkClick xmlns:r="http://schemas.openxmlformats.org/officeDocument/2006/relationships" r:id="rId9" tooltip="Auswählen, um die kostenlose Excel-Onlineschulung im Web zu absolvieren"/>
            <a:extLst>
              <a:ext uri="{FF2B5EF4-FFF2-40B4-BE49-F238E27FC236}">
                <a16:creationId xmlns:a16="http://schemas.microsoft.com/office/drawing/2014/main" id="{00000000-0008-0000-0100-000099000000}"/>
              </a:ext>
            </a:extLst>
          </xdr:cNvPr>
          <xdr:cNvSpPr txBox="1"/>
        </xdr:nvSpPr>
        <xdr:spPr>
          <a:xfrm>
            <a:off x="1016608" y="18952686"/>
            <a:ext cx="3250384"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54"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323850</xdr:colOff>
      <xdr:row>77</xdr:row>
      <xdr:rowOff>185865</xdr:rowOff>
    </xdr:from>
    <xdr:to>
      <xdr:col>7</xdr:col>
      <xdr:colOff>381000</xdr:colOff>
      <xdr:row>87</xdr:row>
      <xdr:rowOff>130175</xdr:rowOff>
    </xdr:to>
    <xdr:grpSp>
      <xdr:nvGrpSpPr>
        <xdr:cNvPr id="9" name="WISSENSWERTES" descr="WISSENSWERTES&#10;Doppelklicken Sie auf diese Zelle, dann sehen Sie, dass die Formel unterschiedlich ist. Konkret lautet das Summenkriterium &quot;&gt;=50&quot;, was größer als oder gleich 50 bedeutet. Es gibt andere Operatoren, die Sie verwenden können, etwa &quot;&lt;=50&quot;, also kleiner oder gleich 50. Und es gibt auch noch &quot;&lt;&gt;50&quot;, was ungleich 50 bedeutet. &#10;">
          <a:extLst>
            <a:ext uri="{FF2B5EF4-FFF2-40B4-BE49-F238E27FC236}">
              <a16:creationId xmlns:a16="http://schemas.microsoft.com/office/drawing/2014/main" id="{00000000-0008-0000-0100-000009000000}"/>
            </a:ext>
          </a:extLst>
        </xdr:cNvPr>
        <xdr:cNvGrpSpPr/>
      </xdr:nvGrpSpPr>
      <xdr:grpSpPr>
        <a:xfrm>
          <a:off x="6873240" y="15423960"/>
          <a:ext cx="3413760" cy="1855025"/>
          <a:chOff x="7006118" y="15514765"/>
          <a:chExt cx="3432175" cy="1776285"/>
        </a:xfrm>
      </xdr:grpSpPr>
      <xdr:sp macro="" textlink="">
        <xdr:nvSpPr>
          <xdr:cNvPr id="134" name="Schritt" descr="WISSENSWERTES&#10;Doppelklicken Sie auf diese Zelle, dann sehen Sie, dass die Formel unterschiedlich ist. Konkret lautet das Summenkriterium &quot;&gt;=50&quot;, was größer als oder gleich 50 bedeutet. Es gibt andere Operatoren, die Sie verwenden können, etwa &quot;&lt;=50&quot;, also kleiner oder gleich 50. Und es gibt auch noch &quot;&lt;&gt;50&quot;, was ungleich 50 bedeutet. &#10;">
            <a:extLst>
              <a:ext uri="{FF2B5EF4-FFF2-40B4-BE49-F238E27FC236}">
                <a16:creationId xmlns:a16="http://schemas.microsoft.com/office/drawing/2014/main" id="{00000000-0008-0000-0100-000086000000}"/>
              </a:ext>
            </a:extLst>
          </xdr:cNvPr>
          <xdr:cNvSpPr txBox="1"/>
        </xdr:nvSpPr>
        <xdr:spPr>
          <a:xfrm>
            <a:off x="7270451"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Doppelklicken Sie auf diese Zelle, dann sehen Sie, dass die Formel unterschiedlich ist. Konkret lautet das Summenkriterium "&gt;=50", was </a:t>
            </a:r>
            <a:r>
              <a:rPr lang="de" sz="1100" b="0" i="1" kern="1200" baseline="0">
                <a:solidFill>
                  <a:schemeClr val="dk1"/>
                </a:solidFill>
                <a:effectLst/>
                <a:latin typeface="+mn-lt"/>
                <a:ea typeface="+mn-ea"/>
                <a:cs typeface="+mn-cs"/>
              </a:rPr>
              <a:t>größer als oder gleich 50 </a:t>
            </a:r>
            <a:r>
              <a:rPr lang="de" sz="1100" b="0" i="0" kern="1200" baseline="0">
                <a:solidFill>
                  <a:schemeClr val="dk1"/>
                </a:solidFill>
                <a:effectLst/>
                <a:latin typeface="+mn-lt"/>
                <a:ea typeface="+mn-ea"/>
                <a:cs typeface="+mn-cs"/>
              </a:rPr>
              <a:t>bedeutet. Es gibt andere Operatoren, die Sie verwenden können, etwa "&lt;=50", also </a:t>
            </a:r>
            <a:r>
              <a:rPr lang="de" sz="1100" b="0" i="1" kern="1200" baseline="0">
                <a:solidFill>
                  <a:schemeClr val="dk1"/>
                </a:solidFill>
                <a:effectLst/>
                <a:latin typeface="+mn-lt"/>
                <a:ea typeface="+mn-ea"/>
                <a:cs typeface="+mn-cs"/>
              </a:rPr>
              <a:t>kleiner oder gleich 50</a:t>
            </a:r>
            <a:r>
              <a:rPr lang="de" sz="1100" b="0" i="0" kern="1200" baseline="0">
                <a:solidFill>
                  <a:schemeClr val="dk1"/>
                </a:solidFill>
                <a:effectLst/>
                <a:latin typeface="+mn-lt"/>
                <a:ea typeface="+mn-ea"/>
                <a:cs typeface="+mn-cs"/>
              </a:rPr>
              <a:t>. Und es gibt auch noch "&lt;&gt;50", was </a:t>
            </a:r>
            <a:r>
              <a:rPr lang="de" sz="1100" b="0" i="1" kern="1200" baseline="0">
                <a:solidFill>
                  <a:schemeClr val="dk1"/>
                </a:solidFill>
                <a:effectLst/>
                <a:latin typeface="+mn-lt"/>
                <a:ea typeface="+mn-ea"/>
                <a:cs typeface="+mn-cs"/>
              </a:rPr>
              <a:t>ungleich 50</a:t>
            </a:r>
            <a:r>
              <a:rPr lang="de" sz="1100" b="0" i="0" kern="1200" baseline="0">
                <a:solidFill>
                  <a:schemeClr val="dk1"/>
                </a:solidFill>
                <a:effectLst/>
                <a:latin typeface="+mn-lt"/>
                <a:ea typeface="+mn-ea"/>
                <a:cs typeface="+mn-cs"/>
              </a:rPr>
              <a:t> bedeutet. </a:t>
            </a:r>
            <a:endParaRPr lang="en-US" sz="1100">
              <a:effectLst/>
              <a:latin typeface="+mn-lt"/>
            </a:endParaRPr>
          </a:p>
        </xdr:txBody>
      </xdr:sp>
      <xdr:pic>
        <xdr:nvPicPr>
          <xdr:cNvPr id="136" name="Grafik 147" descr="Brille">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06118" y="15665450"/>
            <a:ext cx="323347" cy="349115"/>
          </a:xfrm>
          <a:prstGeom prst="rect">
            <a:avLst/>
          </a:prstGeom>
        </xdr:spPr>
      </xdr:pic>
      <xdr:sp macro="" textlink="">
        <xdr:nvSpPr>
          <xdr:cNvPr id="137" name="Freihandform: Form 136" descr="Pfeil">
            <a:extLst>
              <a:ext uri="{FF2B5EF4-FFF2-40B4-BE49-F238E27FC236}">
                <a16:creationId xmlns:a16="http://schemas.microsoft.com/office/drawing/2014/main" id="{00000000-0008-0000-0100-000089000000}"/>
              </a:ext>
            </a:extLst>
          </xdr:cNvPr>
          <xdr:cNvSpPr/>
        </xdr:nvSpPr>
        <xdr:spPr>
          <a:xfrm rot="5953034" flipV="1">
            <a:off x="8958848"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oneCell">
    <xdr:from>
      <xdr:col>0</xdr:col>
      <xdr:colOff>347872</xdr:colOff>
      <xdr:row>64</xdr:row>
      <xdr:rowOff>181404</xdr:rowOff>
    </xdr:from>
    <xdr:to>
      <xdr:col>1</xdr:col>
      <xdr:colOff>5196097</xdr:colOff>
      <xdr:row>86</xdr:row>
      <xdr:rowOff>160660</xdr:rowOff>
    </xdr:to>
    <xdr:grpSp>
      <xdr:nvGrpSpPr>
        <xdr:cNvPr id="10" name="Weitere Informationen zu SUMMEWENN"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9777" y="12942999"/>
          <a:ext cx="5716905" cy="4174066"/>
          <a:chOff x="347872" y="13364012"/>
          <a:chExt cx="5695950" cy="4170184"/>
        </a:xfrm>
      </xdr:grpSpPr>
      <xdr:sp macro="" textlink="">
        <xdr:nvSpPr>
          <xdr:cNvPr id="106" name="Rechteck 105" descr="Hintergrund">
            <a:extLst>
              <a:ext uri="{FF2B5EF4-FFF2-40B4-BE49-F238E27FC236}">
                <a16:creationId xmlns:a16="http://schemas.microsoft.com/office/drawing/2014/main" id="{00000000-0008-0000-0100-00006A000000}"/>
              </a:ext>
            </a:extLst>
          </xdr:cNvPr>
          <xdr:cNvSpPr/>
        </xdr:nvSpPr>
        <xdr:spPr>
          <a:xfrm>
            <a:off x="347872" y="13364012"/>
            <a:ext cx="5695950" cy="417018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7" name="Gerader Verbinder 106" descr="Dekorative Linie">
            <a:extLst>
              <a:ext uri="{FF2B5EF4-FFF2-40B4-BE49-F238E27FC236}">
                <a16:creationId xmlns:a16="http://schemas.microsoft.com/office/drawing/2014/main" id="{00000000-0008-0000-0100-00006B000000}"/>
              </a:ext>
            </a:extLst>
          </xdr:cNvPr>
          <xdr:cNvCxnSpPr>
            <a:cxnSpLocks/>
          </xdr:cNvCxnSpPr>
        </xdr:nvCxnSpPr>
        <xdr:spPr>
          <a:xfrm>
            <a:off x="579529" y="1436095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Gerader Verbinder 107" descr="Dekorative Linie">
            <a:extLst>
              <a:ext uri="{FF2B5EF4-FFF2-40B4-BE49-F238E27FC236}">
                <a16:creationId xmlns:a16="http://schemas.microsoft.com/office/drawing/2014/main" id="{00000000-0008-0000-0100-00006C000000}"/>
              </a:ext>
            </a:extLst>
          </xdr:cNvPr>
          <xdr:cNvCxnSpPr>
            <a:cxnSpLocks/>
          </xdr:cNvCxnSpPr>
        </xdr:nvCxnSpPr>
        <xdr:spPr>
          <a:xfrm>
            <a:off x="579529" y="17339044"/>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chritt" descr="Weitere Informationen zur SUMMEWENN-Funktion">
            <a:extLst>
              <a:ext uri="{FF2B5EF4-FFF2-40B4-BE49-F238E27FC236}">
                <a16:creationId xmlns:a16="http://schemas.microsoft.com/office/drawing/2014/main" id="{00000000-0008-0000-0100-00006D000000}"/>
              </a:ext>
            </a:extLst>
          </xdr:cNvPr>
          <xdr:cNvSpPr txBox="1"/>
        </xdr:nvSpPr>
        <xdr:spPr>
          <a:xfrm>
            <a:off x="576376" y="13488151"/>
            <a:ext cx="5220000" cy="818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zur SUMMEWENN-Funktion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chritt" descr="Wir haben Ihnen oben auf diesem Blatt auch die Funktion SUMMEWENN vorgestellt. Die SUMMEWENN-Funktion addiert Summen auf der Grundlage eines Kriteriums. Wenn die Funktion SUMMEWENN sprechen könnte, würde sie wohl Folgendes sagen:&#10;">
            <a:extLst>
              <a:ext uri="{FF2B5EF4-FFF2-40B4-BE49-F238E27FC236}">
                <a16:creationId xmlns:a16="http://schemas.microsoft.com/office/drawing/2014/main" id="{00000000-0008-0000-0100-00006E000000}"/>
              </a:ext>
            </a:extLst>
          </xdr:cNvPr>
          <xdr:cNvSpPr txBox="1"/>
        </xdr:nvSpPr>
        <xdr:spPr>
          <a:xfrm>
            <a:off x="553341" y="14384930"/>
            <a:ext cx="5342633" cy="724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Wir haben Ihnen oben auf diesem Blatt auch die Funktion SUMMEWENN vorgestellt. Die SUMMEWENN-Funktion addiert Summen auf der Grundlage eines Kriteriums.</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Wenn die Funktion SUMMEWENN sprechen könnte, würde sie wohl Folgendes sagen:</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chritt" descr="HINWEIS: Wenn Sie feststellen, dass Sie viele SUMMEWENN-Formeln erstellen, dann ist vielleicht eine PivotTable eine bessere Lösung. Weitere Informationen finden Sie auf dem PivotTable-Arbeitsblatt.&#10;">
            <a:hlinkClick xmlns:r="http://schemas.openxmlformats.org/officeDocument/2006/relationships" r:id="rId12" tooltip="Auswählen, um zum PivotTable-Arbeitsblatt zu wechseln"/>
            <a:extLst>
              <a:ext uri="{FF2B5EF4-FFF2-40B4-BE49-F238E27FC236}">
                <a16:creationId xmlns:a16="http://schemas.microsoft.com/office/drawing/2014/main" id="{00000000-0008-0000-0100-00006F000000}"/>
              </a:ext>
            </a:extLst>
          </xdr:cNvPr>
          <xdr:cNvSpPr txBox="1"/>
        </xdr:nvSpPr>
        <xdr:spPr>
          <a:xfrm>
            <a:off x="553342" y="16516332"/>
            <a:ext cx="5303780" cy="700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HINWEIS: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 Sie feststellen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dass Sie viele SUMMEWENN-Formeln erstellen, kann sich eine PivotTable als bessere Lösung erweisen. </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Weitere Informationen finden Sie auf dem PivotTable-Arbeitsblatt</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feld 100" descr="=SUMIF(D73:D77,&quot;&gt;50&quot;)&#10;&#10;">
            <a:extLst>
              <a:ext uri="{FF2B5EF4-FFF2-40B4-BE49-F238E27FC236}">
                <a16:creationId xmlns:a16="http://schemas.microsoft.com/office/drawing/2014/main" id="{00000000-0008-0000-0100-000071000000}"/>
              </a:ext>
            </a:extLst>
          </xdr:cNvPr>
          <xdr:cNvSpPr txBox="1"/>
        </xdr:nvSpPr>
        <xdr:spPr>
          <a:xfrm>
            <a:off x="541774" y="16138224"/>
            <a:ext cx="4093368" cy="34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effectLst/>
                <a:latin typeface="Courier New" panose="02070309020205020404" pitchFamily="49" charset="0"/>
                <a:ea typeface="Times New Roman" panose="02020603050405020304" pitchFamily="18" charset="0"/>
                <a:cs typeface="Courier New" panose="02070309020205020404" pitchFamily="49" charset="0"/>
              </a:rPr>
              <a:t>=SUMMEWENN(D73:D77;"&gt;50")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114" name="Geschweifte Klammer links 113">
            <a:extLst>
              <a:ext uri="{FF2B5EF4-FFF2-40B4-BE49-F238E27FC236}">
                <a16:creationId xmlns:a16="http://schemas.microsoft.com/office/drawing/2014/main" id="{00000000-0008-0000-0100-000072000000}"/>
              </a:ext>
            </a:extLst>
          </xdr:cNvPr>
          <xdr:cNvSpPr/>
        </xdr:nvSpPr>
        <xdr:spPr>
          <a:xfrm rot="5400000">
            <a:off x="1301256" y="15380947"/>
            <a:ext cx="197659" cy="135440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5" name="Textfeld 2" descr="Werte auf der Grundlage dieses Kriteriums addieren:&#10;">
            <a:extLst>
              <a:ext uri="{FF2B5EF4-FFF2-40B4-BE49-F238E27FC236}">
                <a16:creationId xmlns:a16="http://schemas.microsoft.com/office/drawing/2014/main" id="{00000000-0008-0000-0100-000073000000}"/>
              </a:ext>
            </a:extLst>
          </xdr:cNvPr>
          <xdr:cNvSpPr txBox="1">
            <a:spLocks noChangeArrowheads="1"/>
          </xdr:cNvSpPr>
        </xdr:nvSpPr>
        <xdr:spPr bwMode="auto">
          <a:xfrm>
            <a:off x="842856" y="15102015"/>
            <a:ext cx="1182201"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Werte auf der Grundlage dieses Kriteriums addieren:</a:t>
            </a:r>
          </a:p>
        </xdr:txBody>
      </xdr:sp>
      <xdr:sp macro="" textlink="">
        <xdr:nvSpPr>
          <xdr:cNvPr id="116" name="Geschweifte Klammer links 115">
            <a:extLst>
              <a:ext uri="{FF2B5EF4-FFF2-40B4-BE49-F238E27FC236}">
                <a16:creationId xmlns:a16="http://schemas.microsoft.com/office/drawing/2014/main" id="{00000000-0008-0000-0100-000074000000}"/>
              </a:ext>
            </a:extLst>
          </xdr:cNvPr>
          <xdr:cNvSpPr/>
        </xdr:nvSpPr>
        <xdr:spPr>
          <a:xfrm rot="5400000">
            <a:off x="2652169" y="15521812"/>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7" name="Textfeld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2081587" y="15102300"/>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....Durchsuchen Sie diese Zellen...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feld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3241186" y="15102300"/>
            <a:ext cx="1186697"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...und wenn der Wert größer als 50 ist, addieren.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Geschweifte Klammer links 132">
            <a:extLst>
              <a:ext uri="{FF2B5EF4-FFF2-40B4-BE49-F238E27FC236}">
                <a16:creationId xmlns:a16="http://schemas.microsoft.com/office/drawing/2014/main" id="{00000000-0008-0000-0100-000085000000}"/>
              </a:ext>
            </a:extLst>
          </xdr:cNvPr>
          <xdr:cNvSpPr/>
        </xdr:nvSpPr>
        <xdr:spPr>
          <a:xfrm rot="5400000">
            <a:off x="3714109" y="15670985"/>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oneCell">
    <xdr:from>
      <xdr:col>2</xdr:col>
      <xdr:colOff>114301</xdr:colOff>
      <xdr:row>53</xdr:row>
      <xdr:rowOff>53969</xdr:rowOff>
    </xdr:from>
    <xdr:to>
      <xdr:col>7</xdr:col>
      <xdr:colOff>514351</xdr:colOff>
      <xdr:row>65</xdr:row>
      <xdr:rowOff>85726</xdr:rowOff>
    </xdr:to>
    <xdr:grpSp>
      <xdr:nvGrpSpPr>
        <xdr:cNvPr id="8" name="WICHTIGES DETAIL" descr="WICHTIGES DETAIL&#10;Doppelklicken Sie auf diese Zelle. Ihnen wird die 100 gegen Ende aufgefallen sein. Es ist zwar möglich, Zahlen in dieser Weise in eine Formel einzusetzen, wir empfehlen es aber nur, wenn es absolut erforderlich ist. Eine solche Zahl wird als Konstante bezeichnet, und nur zu leicht vergisst man, dass sie da ist. Wir empfehlen, stattdessen auf eine weitere Zelle zu verweisen. z.B. Zelle D16. Auf diese Weise ist die Konstante sichtbar und nicht im Innern einer Formel verborgen. &#10;">
          <a:extLst>
            <a:ext uri="{FF2B5EF4-FFF2-40B4-BE49-F238E27FC236}">
              <a16:creationId xmlns:a16="http://schemas.microsoft.com/office/drawing/2014/main" id="{00000000-0008-0000-0100-000008000000}"/>
            </a:ext>
          </a:extLst>
        </xdr:cNvPr>
        <xdr:cNvGrpSpPr/>
      </xdr:nvGrpSpPr>
      <xdr:grpSpPr>
        <a:xfrm>
          <a:off x="6667501" y="10725779"/>
          <a:ext cx="3749040" cy="2315852"/>
          <a:chOff x="6788150" y="10960177"/>
          <a:chExt cx="3804142" cy="2238593"/>
        </a:xfrm>
      </xdr:grpSpPr>
      <xdr:sp macro="" textlink="">
        <xdr:nvSpPr>
          <xdr:cNvPr id="99" name="Anweisung" descr="WICHTIGES DETAIL&#10;Doppelklicken Sie auf diese Zelle. Ihnen wird die 100 gegen Ende aufgefallen sein. Es ist zwar möglich, Zahlen in dieser Weise in eine Formel einzusetzen, wir empfehlen es aber nur, wenn es absolut erforderlich ist. Eine solche Zahl wird als Konstante bezeichnet, und nur zu leicht vergisst man, dass sie da ist. Wir empfehlen, stattdessen auf eine weitere Zelle zu verweisen. z.B. Zelle D16. Auf diese Weise ist die Konstante sichtbar und nicht im Innern einer Formel verborgen. &#10;">
            <a:extLst>
              <a:ext uri="{FF2B5EF4-FFF2-40B4-BE49-F238E27FC236}">
                <a16:creationId xmlns:a16="http://schemas.microsoft.com/office/drawing/2014/main" id="{00000000-0008-0000-0100-000063000000}"/>
              </a:ext>
            </a:extLst>
          </xdr:cNvPr>
          <xdr:cNvSpPr txBox="1"/>
        </xdr:nvSpPr>
        <xdr:spPr>
          <a:xfrm>
            <a:off x="7073900" y="11363324"/>
            <a:ext cx="3518392" cy="1835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Doppelklicken Sie auf diese Zelle. Ihnen wird die </a:t>
            </a:r>
            <a:r>
              <a:rPr lang="de" sz="1100" b="0" i="1" kern="1200" baseline="0">
                <a:solidFill>
                  <a:schemeClr val="dk1"/>
                </a:solidFill>
                <a:effectLst/>
                <a:latin typeface="+mn-lt"/>
                <a:ea typeface="+mn-ea"/>
                <a:cs typeface="+mn-cs"/>
              </a:rPr>
              <a:t>100</a:t>
            </a:r>
            <a:r>
              <a:rPr lang="de" sz="1100" b="0" i="0" kern="1200" baseline="0">
                <a:solidFill>
                  <a:schemeClr val="dk1"/>
                </a:solidFill>
                <a:effectLst/>
                <a:latin typeface="+mn-lt"/>
                <a:ea typeface="+mn-ea"/>
                <a:cs typeface="+mn-cs"/>
              </a:rPr>
              <a:t> gegen Ende aufgefallen sein. Es ist zwar möglich, Zahlen in dieser Weise in eine Formel einzusetzen, wir empfehlen es aber nur, wenn es absolut erforderlich ist. Eine solche Zahl wird als </a:t>
            </a:r>
            <a:r>
              <a:rPr lang="de" sz="1100" b="1" i="0" kern="1200" baseline="0">
                <a:solidFill>
                  <a:schemeClr val="dk1"/>
                </a:solidFill>
                <a:effectLst/>
                <a:latin typeface="+mn-lt"/>
                <a:ea typeface="+mn-ea"/>
                <a:cs typeface="+mn-cs"/>
              </a:rPr>
              <a:t>Konstante</a:t>
            </a:r>
            <a:r>
              <a:rPr lang="de" sz="1100" b="0" i="0" kern="1200" baseline="0">
                <a:solidFill>
                  <a:schemeClr val="dk1"/>
                </a:solidFill>
                <a:effectLst/>
                <a:latin typeface="+mn-lt"/>
                <a:ea typeface="+mn-ea"/>
                <a:cs typeface="+mn-cs"/>
              </a:rPr>
              <a:t> bezeichnet, und nur zu leicht vergisst man, dass sie da ist. Wir empfehlen, stattdessen auf eine weitere Zelle zu verweisen. z.B. Zelle D16. Auf diese Weise ist die Konstante sichtbar und nicht im Innern einer Formel verborgen. </a:t>
            </a:r>
            <a:endParaRPr lang="en-US" sz="1100">
              <a:effectLst/>
            </a:endParaRPr>
          </a:p>
        </xdr:txBody>
      </xdr:sp>
      <xdr:pic>
        <xdr:nvPicPr>
          <xdr:cNvPr id="102" name="Lupe" descr="Lupe">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Pfeil" descr="Pfeil">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4</xdr:col>
      <xdr:colOff>35996</xdr:colOff>
      <xdr:row>36</xdr:row>
      <xdr:rowOff>82549</xdr:rowOff>
    </xdr:from>
    <xdr:to>
      <xdr:col>8</xdr:col>
      <xdr:colOff>561976</xdr:colOff>
      <xdr:row>44</xdr:row>
      <xdr:rowOff>161925</xdr:rowOff>
    </xdr:to>
    <xdr:grpSp>
      <xdr:nvGrpSpPr>
        <xdr:cNvPr id="12" name="SEHEN SIE SICH DAS AN" descr="Wählen Sie diese Zellen aus. Suchen Sie anschließend in der unteren rechten Ecke des Excel-Fensters hiernach:&#10;Summe: 170&#10;Das ist lediglich eine weitere Möglichkeit, schnell eine Summe zu ermitteln. &#10;&#10;">
          <a:extLst>
            <a:ext uri="{FF2B5EF4-FFF2-40B4-BE49-F238E27FC236}">
              <a16:creationId xmlns:a16="http://schemas.microsoft.com/office/drawing/2014/main" id="{00000000-0008-0000-0100-00000C000000}"/>
            </a:ext>
          </a:extLst>
        </xdr:cNvPr>
        <xdr:cNvGrpSpPr/>
      </xdr:nvGrpSpPr>
      <xdr:grpSpPr>
        <a:xfrm>
          <a:off x="7808396" y="7513954"/>
          <a:ext cx="3267275" cy="1603376"/>
          <a:chOff x="7539454" y="7993902"/>
          <a:chExt cx="3204478" cy="1603376"/>
        </a:xfrm>
      </xdr:grpSpPr>
      <xdr:grpSp>
        <xdr:nvGrpSpPr>
          <xdr:cNvPr id="119" name="Klammerlinien">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Weitere Klammerlinie" descr="Klammerlini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Klammerlinie" descr="Klammerlini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Sterne" descr="Sterne">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Anweisungen" descr="SEHEN SIE SICH DAS AN&#10;Wählen Sie diese Zellen aus. Suchen Sie anschließend in der unteren rechten Ecke des Excel-Fensters hiernach:&#10;Summe: 170&#10;Das ist lediglich eine weitere Möglichkeit, schnell eine Summe zu ermitteln. &#10;&#10;">
            <a:extLst>
              <a:ext uri="{FF2B5EF4-FFF2-40B4-BE49-F238E27FC236}">
                <a16:creationId xmlns:a16="http://schemas.microsoft.com/office/drawing/2014/main" id="{00000000-0008-0000-0100-000060000000}"/>
              </a:ext>
            </a:extLst>
          </xdr:cNvPr>
          <xdr:cNvSpPr txBox="1"/>
        </xdr:nvSpPr>
        <xdr:spPr>
          <a:xfrm>
            <a:off x="8190056" y="7993902"/>
            <a:ext cx="2553876" cy="160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Wählen Sie diese Zellen aus. Suchen Sie anschließend in der unteren rechten Ecke des</a:t>
            </a:r>
            <a:r>
              <a:rPr lang="de" sz="1100" kern="0" baseline="0">
                <a:solidFill>
                  <a:schemeClr val="bg2">
                    <a:lumMod val="25000"/>
                  </a:schemeClr>
                </a:solidFill>
                <a:latin typeface="+mn-lt"/>
                <a:ea typeface="Segoe UI" pitchFamily="34" charset="0"/>
                <a:cs typeface="Segoe UI Light" panose="020B0502040204020203" pitchFamily="34" charset="0"/>
              </a:rPr>
              <a:t> Excel-Fensters hiernach:</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de" sz="1100" kern="0" baseline="0">
                <a:solidFill>
                  <a:schemeClr val="bg2">
                    <a:lumMod val="25000"/>
                  </a:schemeClr>
                </a:solidFill>
                <a:latin typeface="+mn-lt"/>
                <a:ea typeface="Segoe UI" pitchFamily="34" charset="0"/>
                <a:cs typeface="Segoe UI Light" panose="020B0502040204020203" pitchFamily="34" charset="0"/>
              </a:rPr>
              <a:t>Das ist lediglich eine weitere Möglichkeit, schnell eine Summe zu ermitteln.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Weitere Informationen zu SUMM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2078"/>
          <a:ext cx="5718810" cy="7231577"/>
          <a:chOff x="346284" y="5905938"/>
          <a:chExt cx="5737225" cy="6997262"/>
        </a:xfrm>
      </xdr:grpSpPr>
      <xdr:sp macro="" textlink="">
        <xdr:nvSpPr>
          <xdr:cNvPr id="53" name="Rechteck 52" descr="Hintergr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54" name="Gerader Verbinder 53" descr="Dekorative Lini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Gerader Verbinder 54" descr="Dekorative Lini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chritt" descr="Weitere Informationen zur SUMME-Funk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Mehr über die SUMME-Funktion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chritt"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einigen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der oben aufgeführten Tipps haben wir Ihnen die Verwendung der Funktion SUMME vermittelt. Hier finden Sie weitere Details dazu. Doppelklicken Sie auf eine gelbe Zelle rechts, und lesen Sie dann den Text</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unten.</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 die Funktion SUMME sprechen könnte, würde sie wohl Folgendes sagen:</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chritt" descr="Und dies ist eine weitere Möglichkeit der Verwendung:&#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 dies ist eine weitere Möglichkeit der Verwendung:</a:t>
            </a:r>
          </a:p>
        </xdr:txBody>
      </xdr:sp>
      <xdr:grpSp>
        <xdr:nvGrpSpPr>
          <xdr:cNvPr id="79" name="Gruppieren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feld 100" descr="=SUMME(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=SUMME(D38:D41) </a:t>
              </a:r>
              <a:endParaRPr lang="en-US" sz="2000">
                <a:effectLst/>
                <a:latin typeface="Courier New" panose="02070309020205020404" pitchFamily="49" charset="0"/>
                <a:ea typeface="Times New Roman" panose="02020603050405020304" pitchFamily="18" charset="0"/>
              </a:endParaRPr>
            </a:p>
          </xdr:txBody>
        </xdr:sp>
        <xdr:sp macro="" textlink="">
          <xdr:nvSpPr>
            <xdr:cNvPr id="75" name="Geschweifte Klammer links 74">
              <a:extLst>
                <a:ext uri="{FF2B5EF4-FFF2-40B4-BE49-F238E27FC236}">
                  <a16:creationId xmlns:a16="http://schemas.microsoft.com/office/drawing/2014/main" id="{00000000-0008-0000-0100-00004B000000}"/>
                </a:ext>
              </a:extLst>
            </xdr:cNvPr>
            <xdr:cNvSpPr/>
          </xdr:nvSpPr>
          <xdr:spPr>
            <a:xfrm rot="5400000">
              <a:off x="1500938" y="8762381"/>
              <a:ext cx="196065" cy="74036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6" name="Textfeld 2" descr="Folgendes addieren:&#10;">
              <a:extLst>
                <a:ext uri="{FF2B5EF4-FFF2-40B4-BE49-F238E27FC236}">
                  <a16:creationId xmlns:a16="http://schemas.microsoft.com/office/drawing/2014/main" id="{00000000-0008-0000-0100-00004C000000}"/>
                </a:ext>
              </a:extLst>
            </xdr:cNvPr>
            <xdr:cNvSpPr txBox="1">
              <a:spLocks noChangeArrowheads="1"/>
            </xdr:cNvSpPr>
          </xdr:nvSpPr>
          <xdr:spPr bwMode="auto">
            <a:xfrm>
              <a:off x="1111917"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Folgendes addieren: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Geschweifte Klammer links 76">
              <a:extLst>
                <a:ext uri="{FF2B5EF4-FFF2-40B4-BE49-F238E27FC236}">
                  <a16:creationId xmlns:a16="http://schemas.microsoft.com/office/drawing/2014/main" id="{00000000-0008-0000-0100-00004D000000}"/>
                </a:ext>
              </a:extLst>
            </xdr:cNvPr>
            <xdr:cNvSpPr/>
          </xdr:nvSpPr>
          <xdr:spPr>
            <a:xfrm rot="5400000">
              <a:off x="2562516" y="8590072"/>
              <a:ext cx="195783" cy="1072982"/>
            </a:xfrm>
            <a:prstGeom prst="leftBrace">
              <a:avLst>
                <a:gd name="adj1" fmla="val 8333"/>
                <a:gd name="adj2" fmla="val 7504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8" name="Textfeld 2" descr="...die Werte in den Zellen D38, D39, D40 und D41">
              <a:extLst>
                <a:ext uri="{FF2B5EF4-FFF2-40B4-BE49-F238E27FC236}">
                  <a16:creationId xmlns:a16="http://schemas.microsoft.com/office/drawing/2014/main" id="{00000000-0008-0000-0100-00004E000000}"/>
                </a:ext>
              </a:extLst>
            </xdr:cNvPr>
            <xdr:cNvSpPr txBox="1">
              <a:spLocks noChangeArrowheads="1"/>
            </xdr:cNvSpPr>
          </xdr:nvSpPr>
          <xdr:spPr bwMode="auto">
            <a:xfrm>
              <a:off x="2005956"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 Werte</a:t>
              </a:r>
              <a:r>
                <a:rPr lang="de" sz="1100" baseline="0">
                  <a:effectLst/>
                  <a:latin typeface="Calibri" panose="020F0502020204030204" pitchFamily="34" charset="0"/>
                  <a:ea typeface="Calibri" panose="020F0502020204030204" pitchFamily="34" charset="0"/>
                  <a:cs typeface="Times New Roman" panose="02020603050405020304" pitchFamily="18" charset="0"/>
                </a:rPr>
                <a:t> </a:t>
              </a:r>
              <a:r>
                <a:rPr lang="de" sz="1100">
                  <a:effectLst/>
                  <a:latin typeface="Calibri" panose="020F0502020204030204" pitchFamily="34" charset="0"/>
                  <a:ea typeface="Calibri" panose="020F0502020204030204" pitchFamily="34" charset="0"/>
                  <a:cs typeface="Times New Roman" panose="02020603050405020304" pitchFamily="18" charset="0"/>
                </a:rPr>
                <a:t> </a:t>
              </a:r>
              <a:r>
                <a:rPr lang="de" sz="1100" baseline="0">
                  <a:effectLst/>
                  <a:latin typeface="Calibri" panose="020F0502020204030204" pitchFamily="34" charset="0"/>
                  <a:ea typeface="Calibri" panose="020F0502020204030204" pitchFamily="34" charset="0"/>
                  <a:cs typeface="Times New Roman" panose="02020603050405020304" pitchFamily="18" charset="0"/>
                </a:rPr>
                <a:t>in den Zellen D38, D39, D40 und D41.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uppe 104">
            <a:extLst>
              <a:ext uri="{FF2B5EF4-FFF2-40B4-BE49-F238E27FC236}">
                <a16:creationId xmlns:a16="http://schemas.microsoft.com/office/drawing/2014/main" id="{00000000-0008-0000-0100-000069000000}"/>
              </a:ext>
            </a:extLst>
          </xdr:cNvPr>
          <xdr:cNvGrpSpPr/>
        </xdr:nvGrpSpPr>
        <xdr:grpSpPr>
          <a:xfrm>
            <a:off x="457200" y="9581527"/>
            <a:ext cx="4927601" cy="1404455"/>
            <a:chOff x="457200" y="9731354"/>
            <a:chExt cx="4886326" cy="1451477"/>
          </a:xfrm>
        </xdr:grpSpPr>
        <xdr:sp macro="" textlink="">
          <xdr:nvSpPr>
            <xdr:cNvPr id="81" name="Textfeld 100" descr="=SUMME(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=SUMME(D48;G48:G51;100) </a:t>
              </a:r>
              <a:endParaRPr lang="en-US" sz="2000">
                <a:effectLst/>
                <a:latin typeface="Courier New" panose="02070309020205020404" pitchFamily="49" charset="0"/>
                <a:ea typeface="Times New Roman" panose="02020603050405020304" pitchFamily="18" charset="0"/>
              </a:endParaRPr>
            </a:p>
          </xdr:txBody>
        </xdr:sp>
        <xdr:grpSp>
          <xdr:nvGrpSpPr>
            <xdr:cNvPr id="82" name="Gruppieren 81">
              <a:extLst>
                <a:ext uri="{FF2B5EF4-FFF2-40B4-BE49-F238E27FC236}">
                  <a16:creationId xmlns:a16="http://schemas.microsoft.com/office/drawing/2014/main" id="{00000000-0008-0000-0100-000052000000}"/>
                </a:ext>
              </a:extLst>
            </xdr:cNvPr>
            <xdr:cNvGrpSpPr/>
          </xdr:nvGrpSpPr>
          <xdr:grpSpPr>
            <a:xfrm>
              <a:off x="544715" y="9744414"/>
              <a:ext cx="934307" cy="1065765"/>
              <a:chOff x="-288760" y="-198227"/>
              <a:chExt cx="1190952" cy="1181084"/>
            </a:xfrm>
          </xdr:grpSpPr>
          <xdr:sp macro="" textlink="">
            <xdr:nvSpPr>
              <xdr:cNvPr id="83" name="Geschweifte Klammer links 82">
                <a:extLst>
                  <a:ext uri="{FF2B5EF4-FFF2-40B4-BE49-F238E27FC236}">
                    <a16:creationId xmlns:a16="http://schemas.microsoft.com/office/drawing/2014/main" id="{00000000-0008-0000-0100-000053000000}"/>
                  </a:ext>
                </a:extLst>
              </xdr:cNvPr>
              <xdr:cNvSpPr/>
            </xdr:nvSpPr>
            <xdr:spPr>
              <a:xfrm rot="5400000">
                <a:off x="284979" y="365645"/>
                <a:ext cx="242885" cy="99154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4" name="Textfeld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288760" y="-198227"/>
                <a:ext cx="1043236"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Folgendes addieren: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uppe 84">
              <a:extLst>
                <a:ext uri="{FF2B5EF4-FFF2-40B4-BE49-F238E27FC236}">
                  <a16:creationId xmlns:a16="http://schemas.microsoft.com/office/drawing/2014/main" id="{00000000-0008-0000-0100-000055000000}"/>
                </a:ext>
              </a:extLst>
            </xdr:cNvPr>
            <xdr:cNvGrpSpPr/>
          </xdr:nvGrpSpPr>
          <xdr:grpSpPr>
            <a:xfrm>
              <a:off x="1387947" y="9735725"/>
              <a:ext cx="819408" cy="1061531"/>
              <a:chOff x="-204112" y="-198227"/>
              <a:chExt cx="821581" cy="1176392"/>
            </a:xfrm>
          </xdr:grpSpPr>
          <xdr:sp macro="" textlink="">
            <xdr:nvSpPr>
              <xdr:cNvPr id="86" name="Geschweifte Klammer links 85">
                <a:extLst>
                  <a:ext uri="{FF2B5EF4-FFF2-40B4-BE49-F238E27FC236}">
                    <a16:creationId xmlns:a16="http://schemas.microsoft.com/office/drawing/2014/main" id="{00000000-0008-0000-0100-000056000000}"/>
                  </a:ext>
                </a:extLst>
              </xdr:cNvPr>
              <xdr:cNvSpPr/>
            </xdr:nvSpPr>
            <xdr:spPr>
              <a:xfrm rot="5400000">
                <a:off x="114906" y="620093"/>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7" name="Textfeld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204112" y="-198227"/>
                <a:ext cx="821581"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...den Wert in Zelle D48...</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uppe 87">
              <a:extLst>
                <a:ext uri="{FF2B5EF4-FFF2-40B4-BE49-F238E27FC236}">
                  <a16:creationId xmlns:a16="http://schemas.microsoft.com/office/drawing/2014/main" id="{00000000-0008-0000-0100-000058000000}"/>
                </a:ext>
              </a:extLst>
            </xdr:cNvPr>
            <xdr:cNvGrpSpPr/>
          </xdr:nvGrpSpPr>
          <xdr:grpSpPr>
            <a:xfrm>
              <a:off x="2216040" y="9731354"/>
              <a:ext cx="1155467" cy="1065768"/>
              <a:chOff x="-213706" y="-202973"/>
              <a:chExt cx="1156469" cy="1181087"/>
            </a:xfrm>
          </xdr:grpSpPr>
          <xdr:sp macro="" textlink="">
            <xdr:nvSpPr>
              <xdr:cNvPr id="89" name="Geschweifte Klammer links 88">
                <a:extLst>
                  <a:ext uri="{FF2B5EF4-FFF2-40B4-BE49-F238E27FC236}">
                    <a16:creationId xmlns:a16="http://schemas.microsoft.com/office/drawing/2014/main" id="{00000000-0008-0000-0100-000059000000}"/>
                  </a:ext>
                </a:extLst>
              </xdr:cNvPr>
              <xdr:cNvSpPr/>
            </xdr:nvSpPr>
            <xdr:spPr>
              <a:xfrm rot="5400000">
                <a:off x="205840" y="315683"/>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0" name="Textfeld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78717" y="-202973"/>
                <a:ext cx="1121480"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 Werte in den Zellen G48, G49, G50 und G51... </a:t>
                </a:r>
              </a:p>
            </xdr:txBody>
          </xdr:sp>
        </xdr:grpSp>
        <xdr:grpSp>
          <xdr:nvGrpSpPr>
            <xdr:cNvPr id="91" name="Gruppe 90">
              <a:extLst>
                <a:ext uri="{FF2B5EF4-FFF2-40B4-BE49-F238E27FC236}">
                  <a16:creationId xmlns:a16="http://schemas.microsoft.com/office/drawing/2014/main" id="{00000000-0008-0000-0100-00005B000000}"/>
                </a:ext>
              </a:extLst>
            </xdr:cNvPr>
            <xdr:cNvGrpSpPr/>
          </xdr:nvGrpSpPr>
          <xdr:grpSpPr>
            <a:xfrm>
              <a:off x="3406283" y="9735734"/>
              <a:ext cx="614661" cy="1053581"/>
              <a:chOff x="234116" y="-198228"/>
              <a:chExt cx="615196" cy="1167711"/>
            </a:xfrm>
          </xdr:grpSpPr>
          <xdr:sp macro="" textlink="">
            <xdr:nvSpPr>
              <xdr:cNvPr id="92" name="Geschweifte Klammer links 91">
                <a:extLst>
                  <a:ext uri="{FF2B5EF4-FFF2-40B4-BE49-F238E27FC236}">
                    <a16:creationId xmlns:a16="http://schemas.microsoft.com/office/drawing/2014/main" id="{00000000-0008-0000-0100-00005C000000}"/>
                  </a:ext>
                </a:extLst>
              </xdr:cNvPr>
              <xdr:cNvSpPr/>
            </xdr:nvSpPr>
            <xdr:spPr>
              <a:xfrm rot="5400000">
                <a:off x="390076" y="637257"/>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3" name="Textfeld 2" descr="...u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234116" y="-198228"/>
                <a:ext cx="615196"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...und 100.</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chritt"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8"/>
            <a:ext cx="5342213" cy="1579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Die Formel oben verwendet Folgendes:</a:t>
            </a:r>
          </a:p>
          <a:p>
            <a:pPr rtl="0" eaLnBrk="1" fontAlgn="auto" latinLnBrk="0" hangingPunct="1"/>
            <a:endParaRPr lang="en-US"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a:p>
            <a:pPr rtl="0" eaLnBrk="1" fontAlgn="auto" latinLnBrk="0" hangingPunct="1">
              <a:spcAft>
                <a:spcPts val="600"/>
              </a:spcAft>
            </a:pP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Einen einzelnen </a:t>
            </a:r>
            <a:r>
              <a:rPr lang="de"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Zellbezug</a:t>
            </a: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der die Adresse oder den "Namen" einer Zelle darstellt. D48 ist der Bezug auf eine einzelne Zelle in der Formel oben. </a:t>
            </a:r>
          </a:p>
          <a:p>
            <a:pPr rtl="0" eaLnBrk="1" fontAlgn="auto" latinLnBrk="0" hangingPunct="1">
              <a:spcAft>
                <a:spcPts val="600"/>
              </a:spcAft>
            </a:pP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Einen </a:t>
            </a:r>
            <a:r>
              <a:rPr lang="de"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Bereich von Zellen</a:t>
            </a: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das ist eine Reihe von Zellen, die mit einer Zelle beginnt und mit einer anderen endet.  G48:G51 ist der Zellbereich in der Formel.</a:t>
            </a:r>
          </a:p>
          <a:p>
            <a:pPr rtl="0" eaLnBrk="1" fontAlgn="auto" latinLnBrk="0" hangingPunct="1">
              <a:spcAft>
                <a:spcPts val="600"/>
              </a:spcAft>
            </a:pP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Eine </a:t>
            </a:r>
            <a:r>
              <a:rPr lang="de"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Konstante</a:t>
            </a:r>
            <a:r>
              <a:rPr lang="de"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Die Konstante in dieser Formel ist die Zahl 100. </a:t>
            </a:r>
            <a:endParaRPr lang="en-US" sz="1100">
              <a:solidFill>
                <a:schemeClr val="tx1">
                  <a:lumMod val="75000"/>
                  <a:lumOff val="25000"/>
                </a:schemeClr>
              </a:solidFill>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514350</xdr:colOff>
      <xdr:row>22</xdr:row>
      <xdr:rowOff>114299</xdr:rowOff>
    </xdr:to>
    <xdr:grpSp>
      <xdr:nvGrpSpPr>
        <xdr:cNvPr id="4" name="Gruppieren 3" descr="BONUSAUFGABE&#10;Versuchen Sie, hier eine weitere SUMMEWENN-Formel hinzuzufügen, addieren Sie jedoch Beträge kleiner als 100. Das Ergebnis sollte 160 sein.&#10;">
          <a:extLst>
            <a:ext uri="{FF2B5EF4-FFF2-40B4-BE49-F238E27FC236}">
              <a16:creationId xmlns:a16="http://schemas.microsoft.com/office/drawing/2014/main" id="{6B6FA3A9-A48D-4327-9039-63A2E8740C34}"/>
            </a:ext>
          </a:extLst>
        </xdr:cNvPr>
        <xdr:cNvGrpSpPr/>
      </xdr:nvGrpSpPr>
      <xdr:grpSpPr>
        <a:xfrm>
          <a:off x="9612630" y="3493770"/>
          <a:ext cx="2632710" cy="1383029"/>
          <a:chOff x="9048750" y="3743325"/>
          <a:chExt cx="2562225" cy="1381124"/>
        </a:xfrm>
      </xdr:grpSpPr>
      <xdr:sp macro="" textlink="">
        <xdr:nvSpPr>
          <xdr:cNvPr id="57" name="Schritt" descr="BONUSAUFGABE&#10;Versuchen Sie, hier eine weitere SUMMEWENN-Formel hinzuzufügen, addieren Sie jedoch Beträge kleiner als 100. Das Ergebnis sollte 160 sein.&#10;">
            <a:extLst>
              <a:ext uri="{FF2B5EF4-FFF2-40B4-BE49-F238E27FC236}">
                <a16:creationId xmlns:a16="http://schemas.microsoft.com/office/drawing/2014/main" id="{00000000-0008-0000-0100-000039000000}"/>
              </a:ext>
            </a:extLst>
          </xdr:cNvPr>
          <xdr:cNvSpPr txBox="1"/>
        </xdr:nvSpPr>
        <xdr:spPr>
          <a:xfrm>
            <a:off x="9648643" y="3895724"/>
            <a:ext cx="196233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panose="020B0502040204020203" pitchFamily="34" charset="0"/>
              </a:rPr>
              <a:t>BONUSAUFGABE</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Versuchen Sie, hier eine weitere SUMMEWENN-Formel hinzuzufügen, addieren Sie jedoch Beträge </a:t>
            </a:r>
            <a:r>
              <a:rPr lang="de" sz="1100" b="0" i="1" kern="1200" baseline="0">
                <a:solidFill>
                  <a:schemeClr val="dk1"/>
                </a:solidFill>
                <a:effectLst/>
                <a:latin typeface="+mn-lt"/>
                <a:ea typeface="+mn-ea"/>
                <a:cs typeface="+mn-cs"/>
              </a:rPr>
              <a:t>kleiner als 100</a:t>
            </a:r>
            <a:r>
              <a:rPr lang="de" sz="1100" b="0" i="0" kern="1200" baseline="0">
                <a:solidFill>
                  <a:schemeClr val="dk1"/>
                </a:solidFill>
                <a:effectLst/>
                <a:latin typeface="+mn-lt"/>
                <a:ea typeface="+mn-ea"/>
                <a:cs typeface="+mn-cs"/>
              </a:rPr>
              <a:t>. Das Ergebnis sollte 160 sein.</a:t>
            </a:r>
          </a:p>
        </xdr:txBody>
      </xdr:sp>
      <xdr:pic>
        <xdr:nvPicPr>
          <xdr:cNvPr id="58" name="Bonusaufgabenband" descr="Dekoratives Band">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Bonusaufgabenpfeil" descr="Pfeil">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0</xdr:col>
      <xdr:colOff>326572</xdr:colOff>
      <xdr:row>0</xdr:row>
      <xdr:rowOff>266700</xdr:rowOff>
    </xdr:from>
    <xdr:to>
      <xdr:col>1</xdr:col>
      <xdr:colOff>5174797</xdr:colOff>
      <xdr:row>22</xdr:row>
      <xdr:rowOff>171449</xdr:rowOff>
    </xdr:to>
    <xdr:grpSp>
      <xdr:nvGrpSpPr>
        <xdr:cNvPr id="11" name="Addieren Sie Zahlen wie ein Meister"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2762" y="266700"/>
          <a:ext cx="5716905" cy="4671059"/>
          <a:chOff x="326572" y="266701"/>
          <a:chExt cx="5705475" cy="4754763"/>
        </a:xfrm>
      </xdr:grpSpPr>
      <xdr:grpSp>
        <xdr:nvGrpSpPr>
          <xdr:cNvPr id="16" name="Anweisung &quot;Zahlen addieren&quot;">
            <a:extLst>
              <a:ext uri="{FF2B5EF4-FFF2-40B4-BE49-F238E27FC236}">
                <a16:creationId xmlns:a16="http://schemas.microsoft.com/office/drawing/2014/main" id="{00000000-0008-0000-0100-000010000000}"/>
              </a:ext>
            </a:extLst>
          </xdr:cNvPr>
          <xdr:cNvGrpSpPr/>
        </xdr:nvGrpSpPr>
        <xdr:grpSpPr>
          <a:xfrm>
            <a:off x="326572" y="266701"/>
            <a:ext cx="5705475" cy="4754763"/>
            <a:chOff x="0" y="-1"/>
            <a:chExt cx="5695950" cy="4715866"/>
          </a:xfrm>
        </xdr:grpSpPr>
        <xdr:sp macro="" textlink="">
          <xdr:nvSpPr>
            <xdr:cNvPr id="38" name="Hintergrund" descr="Hintergrund">
              <a:extLst>
                <a:ext uri="{FF2B5EF4-FFF2-40B4-BE49-F238E27FC236}">
                  <a16:creationId xmlns:a16="http://schemas.microsoft.com/office/drawing/2014/main" id="{00000000-0008-0000-0100-000026000000}"/>
                </a:ext>
              </a:extLst>
            </xdr:cNvPr>
            <xdr:cNvSpPr/>
          </xdr:nvSpPr>
          <xdr:spPr>
            <a:xfrm>
              <a:off x="0" y="-1"/>
              <a:ext cx="5695950" cy="471586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9" name="Schritt" descr="Addieren Sie Zahlen wie ein Meister">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Addieren Sie Zahlen wie ein Meister</a:t>
              </a:r>
            </a:p>
          </xdr:txBody>
        </xdr:sp>
        <xdr:sp macro="" textlink="">
          <xdr:nvSpPr>
            <xdr:cNvPr id="41" name="Schaltfläche &quot;Weitere Details&quot;" descr="Mehr Details erfahren">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403499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42" name="Linie unten" descr="Dekorative Linie">
              <a:extLst>
                <a:ext uri="{FF2B5EF4-FFF2-40B4-BE49-F238E27FC236}">
                  <a16:creationId xmlns:a16="http://schemas.microsoft.com/office/drawing/2014/main" id="{00000000-0008-0000-0100-00002A000000}"/>
                </a:ext>
              </a:extLst>
            </xdr:cNvPr>
            <xdr:cNvCxnSpPr>
              <a:cxnSpLocks/>
            </xdr:cNvCxnSpPr>
          </xdr:nvCxnSpPr>
          <xdr:spPr>
            <a:xfrm>
              <a:off x="234924" y="377388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Schaltfläche &quot;Weiter&quot;" descr="Schaltfläche zum nächsten Schritt mit Link zum nächsten Blatt">
              <a:hlinkClick xmlns:r="http://schemas.openxmlformats.org/officeDocument/2006/relationships" r:id="rId3" tooltip="Auswählen, um zum nächsten Schritt zu wechseln"/>
              <a:extLst>
                <a:ext uri="{FF2B5EF4-FFF2-40B4-BE49-F238E27FC236}">
                  <a16:creationId xmlns:a16="http://schemas.microsoft.com/office/drawing/2014/main" id="{00000000-0008-0000-0100-00002B000000}"/>
                </a:ext>
              </a:extLst>
            </xdr:cNvPr>
            <xdr:cNvSpPr/>
          </xdr:nvSpPr>
          <xdr:spPr>
            <a:xfrm>
              <a:off x="3997778" y="4034992"/>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cxnSp macro="">
          <xdr:nvCxnSpPr>
            <xdr:cNvPr id="40" name="Oberste Linie" descr="Dekorative Lini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chritt 5">
            <a:extLst>
              <a:ext uri="{FF2B5EF4-FFF2-40B4-BE49-F238E27FC236}">
                <a16:creationId xmlns:a16="http://schemas.microsoft.com/office/drawing/2014/main" id="{00000000-0008-0000-0100-000017000000}"/>
              </a:ext>
            </a:extLst>
          </xdr:cNvPr>
          <xdr:cNvGrpSpPr/>
        </xdr:nvGrpSpPr>
        <xdr:grpSpPr>
          <a:xfrm>
            <a:off x="558707" y="3258064"/>
            <a:ext cx="5225273" cy="754223"/>
            <a:chOff x="231749" y="2966884"/>
            <a:chExt cx="5216550" cy="748050"/>
          </a:xfrm>
        </xdr:grpSpPr>
        <xdr:sp macro="" textlink="">
          <xdr:nvSpPr>
            <xdr:cNvPr id="24" name="Schritt" descr="Addieren Sie jetzt nur die Zahlen über 50. Wählen Sie die letzte gelbe Zelle aus. Geben Sie =SUMMEWENN(D11:D15;&quot;&gt;50&quot;) ein, und drücken Sie dann die Eingabetaste. Das Ergebnis ist 100.">
              <a:extLst>
                <a:ext uri="{FF2B5EF4-FFF2-40B4-BE49-F238E27FC236}">
                  <a16:creationId xmlns:a16="http://schemas.microsoft.com/office/drawing/2014/main" id="{00000000-0008-0000-0100-000018000000}"/>
                </a:ext>
              </a:extLst>
            </xdr:cNvPr>
            <xdr:cNvSpPr txBox="1"/>
          </xdr:nvSpPr>
          <xdr:spPr>
            <a:xfrm>
              <a:off x="638783" y="2966884"/>
              <a:ext cx="4809516" cy="74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Addieren Sie jetzt nur die Zahlen über</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Wählen Sie die letzte gelbe Zelle aus. Geben Sie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=SUMMEWENN(D11:D15;"&gt;50")</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 und drücken Sie dann die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EINGABETASTE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Ergebnis ist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917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grpSp>
        <xdr:nvGrpSpPr>
          <xdr:cNvPr id="22" name="Schritt4">
            <a:extLst>
              <a:ext uri="{FF2B5EF4-FFF2-40B4-BE49-F238E27FC236}">
                <a16:creationId xmlns:a16="http://schemas.microsoft.com/office/drawing/2014/main" id="{00000000-0008-0000-0100-000016000000}"/>
              </a:ext>
            </a:extLst>
          </xdr:cNvPr>
          <xdr:cNvGrpSpPr/>
        </xdr:nvGrpSpPr>
        <xdr:grpSpPr>
          <a:xfrm>
            <a:off x="558707" y="2848403"/>
            <a:ext cx="5225273" cy="416713"/>
            <a:chOff x="231749" y="2560588"/>
            <a:chExt cx="5216550" cy="413304"/>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560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nvGrpSpPr>
            <xdr:cNvPr id="27" name="Gruppe 26">
              <a:extLst>
                <a:ext uri="{FF2B5EF4-FFF2-40B4-BE49-F238E27FC236}">
                  <a16:creationId xmlns:a16="http://schemas.microsoft.com/office/drawing/2014/main" id="{00000000-0008-0000-0100-00001B000000}"/>
                </a:ext>
              </a:extLst>
            </xdr:cNvPr>
            <xdr:cNvGrpSpPr/>
          </xdr:nvGrpSpPr>
          <xdr:grpSpPr>
            <a:xfrm>
              <a:off x="638783" y="2603087"/>
              <a:ext cx="4809516" cy="370805"/>
              <a:chOff x="638783" y="2603087"/>
              <a:chExt cx="4809516" cy="370805"/>
            </a:xfrm>
          </xdr:grpSpPr>
          <xdr:sp macro="" textlink="">
            <xdr:nvSpPr>
              <xdr:cNvPr id="28" name="Schritt" descr="Drücken Sie zuerst &quot;Alt =&quot;. Drücken Sie dann die Eingabetaste.">
                <a:extLst>
                  <a:ext uri="{FF2B5EF4-FFF2-40B4-BE49-F238E27FC236}">
                    <a16:creationId xmlns:a16="http://schemas.microsoft.com/office/drawing/2014/main" id="{00000000-0008-0000-0100-00001C000000}"/>
                  </a:ext>
                </a:extLst>
              </xdr:cNvPr>
              <xdr:cNvSpPr txBox="1"/>
            </xdr:nvSpPr>
            <xdr:spPr>
              <a:xfrm>
                <a:off x="638783" y="2603087"/>
                <a:ext cx="4809516" cy="370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Drücken Sie 	                      . Drücken Sie dann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EINGABETASTE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Gleichheitszeichen-Taste" descr="Gleichheitszeichen-Taste">
                <a:extLst>
                  <a:ext uri="{FF2B5EF4-FFF2-40B4-BE49-F238E27FC236}">
                    <a16:creationId xmlns:a16="http://schemas.microsoft.com/office/drawing/2014/main" id="{00000000-0008-0000-0100-00001E000000}"/>
                  </a:ext>
                </a:extLst>
              </xdr:cNvPr>
              <xdr:cNvSpPr/>
            </xdr:nvSpPr>
            <xdr:spPr>
              <a:xfrm>
                <a:off x="2007310" y="2615504"/>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9" name="ALT-Taste" descr="ALT-Taste">
                <a:extLst>
                  <a:ext uri="{FF2B5EF4-FFF2-40B4-BE49-F238E27FC236}">
                    <a16:creationId xmlns:a16="http://schemas.microsoft.com/office/drawing/2014/main" id="{00000000-0008-0000-0100-00001D000000}"/>
                  </a:ext>
                </a:extLst>
              </xdr:cNvPr>
              <xdr:cNvSpPr/>
            </xdr:nvSpPr>
            <xdr:spPr>
              <a:xfrm>
                <a:off x="1515494" y="2615504"/>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grpSp>
        <xdr:nvGrpSpPr>
          <xdr:cNvPr id="21" name="Schritt3">
            <a:extLst>
              <a:ext uri="{FF2B5EF4-FFF2-40B4-BE49-F238E27FC236}">
                <a16:creationId xmlns:a16="http://schemas.microsoft.com/office/drawing/2014/main" id="{00000000-0008-0000-0100-000015000000}"/>
              </a:ext>
            </a:extLst>
          </xdr:cNvPr>
          <xdr:cNvGrpSpPr/>
        </xdr:nvGrpSpPr>
        <xdr:grpSpPr>
          <a:xfrm>
            <a:off x="558707" y="2271860"/>
            <a:ext cx="5225273" cy="711849"/>
            <a:chOff x="231749" y="1988748"/>
            <a:chExt cx="5216550" cy="706022"/>
          </a:xfrm>
        </xdr:grpSpPr>
        <xdr:sp macro="" textlink="">
          <xdr:nvSpPr>
            <xdr:cNvPr id="32" name="Schritt" descr="Dies ist eine andere Möglichkeit zum Addieren, unter Verwendung einer Tastenkombination. Wählen Sie die gelbe Zelle unter den Beträgen für Fleisch aus.">
              <a:extLst>
                <a:ext uri="{FF2B5EF4-FFF2-40B4-BE49-F238E27FC236}">
                  <a16:creationId xmlns:a16="http://schemas.microsoft.com/office/drawing/2014/main" id="{00000000-0008-0000-0100-000020000000}"/>
                </a:ext>
              </a:extLst>
            </xdr:cNvPr>
            <xdr:cNvSpPr txBox="1"/>
          </xdr:nvSpPr>
          <xdr:spPr>
            <a:xfrm>
              <a:off x="638783" y="1988748"/>
              <a:ext cx="4809516" cy="70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Dies ist eine andere Möglichkeit zum Addieren, unter Verwendung einer Tastenkombination. Wählen Sie die gelbe Zelle unter den Beträgen für Fleisch aus.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nvGrpSpPr>
          <xdr:cNvPr id="20" name="Schritt 2">
            <a:extLst>
              <a:ext uri="{FF2B5EF4-FFF2-40B4-BE49-F238E27FC236}">
                <a16:creationId xmlns:a16="http://schemas.microsoft.com/office/drawing/2014/main" id="{00000000-0008-0000-0100-000014000000}"/>
              </a:ext>
            </a:extLst>
          </xdr:cNvPr>
          <xdr:cNvGrpSpPr/>
        </xdr:nvGrpSpPr>
        <xdr:grpSpPr>
          <a:xfrm>
            <a:off x="558707" y="1753882"/>
            <a:ext cx="5225273" cy="566020"/>
            <a:chOff x="231749" y="1475009"/>
            <a:chExt cx="5216550" cy="561387"/>
          </a:xfrm>
        </xdr:grpSpPr>
        <xdr:sp macro="" textlink="">
          <xdr:nvSpPr>
            <xdr:cNvPr id="34" name="Schritt" descr="Geben Sie =SUMME(D4:D7) ein, und drücken Sie dann die Eingabetaste. Sobald Sie fertig sind, werden Sie das Ergebnis von 170 sehen.">
              <a:extLst>
                <a:ext uri="{FF2B5EF4-FFF2-40B4-BE49-F238E27FC236}">
                  <a16:creationId xmlns:a16="http://schemas.microsoft.com/office/drawing/2014/main" id="{00000000-0008-0000-0100-000022000000}"/>
                </a:ext>
              </a:extLst>
            </xdr:cNvPr>
            <xdr:cNvSpPr txBox="1"/>
          </xdr:nvSpPr>
          <xdr:spPr>
            <a:xfrm>
              <a:off x="638782" y="147500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Geben Sie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=SUMME(D4:D7)</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drücken Sie dann die EINGABETASTE. Wenn Sie fertig sind, wird das Ergebnis 170 angezeigt.</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19" name="Schritt 1">
            <a:extLst>
              <a:ext uri="{FF2B5EF4-FFF2-40B4-BE49-F238E27FC236}">
                <a16:creationId xmlns:a16="http://schemas.microsoft.com/office/drawing/2014/main" id="{00000000-0008-0000-0100-000013000000}"/>
              </a:ext>
            </a:extLst>
          </xdr:cNvPr>
          <xdr:cNvGrpSpPr/>
        </xdr:nvGrpSpPr>
        <xdr:grpSpPr>
          <a:xfrm>
            <a:off x="558707" y="1278314"/>
            <a:ext cx="5225273" cy="374653"/>
            <a:chOff x="231749" y="1003336"/>
            <a:chExt cx="5216550" cy="371587"/>
          </a:xfrm>
        </xdr:grpSpPr>
        <xdr:sp macro="" textlink="">
          <xdr:nvSpPr>
            <xdr:cNvPr id="36" name="Schritt" descr="Wählen Sie die gelbe Zelle unter den Beträgen für Früchte aus.">
              <a:extLst>
                <a:ext uri="{FF2B5EF4-FFF2-40B4-BE49-F238E27FC236}">
                  <a16:creationId xmlns:a16="http://schemas.microsoft.com/office/drawing/2014/main" id="{00000000-0008-0000-0100-000024000000}"/>
                </a:ext>
              </a:extLst>
            </xdr:cNvPr>
            <xdr:cNvSpPr txBox="1"/>
          </xdr:nvSpPr>
          <xdr:spPr>
            <a:xfrm>
              <a:off x="638783" y="1045834"/>
              <a:ext cx="4809516" cy="320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die gelbe Zelle unter den Beträgen für Obst aus.</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sp macro="" textlink="">
        <xdr:nvSpPr>
          <xdr:cNvPr id="18" name="Einführung &quot;Zahlen hinzufügen&quot;" descr="Dies sind einige Verfahren zum Addieren von Zahlen in Excel:">
            <a:extLst>
              <a:ext uri="{FF2B5EF4-FFF2-40B4-BE49-F238E27FC236}">
                <a16:creationId xmlns:a16="http://schemas.microsoft.com/office/drawing/2014/main" id="{00000000-0008-0000-0100-000012000000}"/>
              </a:ext>
            </a:extLst>
          </xdr:cNvPr>
          <xdr:cNvSpPr txBox="1"/>
        </xdr:nvSpPr>
        <xdr:spPr>
          <a:xfrm>
            <a:off x="555554" y="952786"/>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Dies sind einige Verfahren zum Addieren von Zahlen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393924</xdr:colOff>
      <xdr:row>0</xdr:row>
      <xdr:rowOff>253094</xdr:rowOff>
    </xdr:from>
    <xdr:to>
      <xdr:col>1</xdr:col>
      <xdr:colOff>5242149</xdr:colOff>
      <xdr:row>23</xdr:row>
      <xdr:rowOff>66675</xdr:rowOff>
    </xdr:to>
    <xdr:grpSp>
      <xdr:nvGrpSpPr>
        <xdr:cNvPr id="113" name="Sparen Sie Zeit, indem Sie Zellen automatisch ausfüllen"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397734" y="249284"/>
          <a:ext cx="5707380" cy="4768486"/>
          <a:chOff x="11496675" y="857250"/>
          <a:chExt cx="5695950" cy="4768652"/>
        </a:xfrm>
      </xdr:grpSpPr>
      <xdr:sp macro="" textlink="">
        <xdr:nvSpPr>
          <xdr:cNvPr id="97" name="Rechteck 96" descr="Hintergrund">
            <a:extLst>
              <a:ext uri="{FF2B5EF4-FFF2-40B4-BE49-F238E27FC236}">
                <a16:creationId xmlns:a16="http://schemas.microsoft.com/office/drawing/2014/main" id="{00000000-0008-0000-0200-000061000000}"/>
              </a:ext>
            </a:extLst>
          </xdr:cNvPr>
          <xdr:cNvSpPr/>
        </xdr:nvSpPr>
        <xdr:spPr>
          <a:xfrm>
            <a:off x="11496675" y="857250"/>
            <a:ext cx="5695950" cy="476865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8" name="Schritt" descr="Sparen Sie Zeit, indem Sie Zellen automatisch ausfüllen">
            <a:extLst>
              <a:ext uri="{FF2B5EF4-FFF2-40B4-BE49-F238E27FC236}">
                <a16:creationId xmlns:a16="http://schemas.microsoft.com/office/drawing/2014/main" id="{00000000-0008-0000-0200-000062000000}"/>
              </a:ext>
            </a:extLst>
          </xdr:cNvPr>
          <xdr:cNvSpPr txBox="1"/>
        </xdr:nvSpPr>
        <xdr:spPr>
          <a:xfrm>
            <a:off x="11728423" y="985473"/>
            <a:ext cx="5216551" cy="905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Sparen Sie Zeit, indem Sie Zellen automatisch ausfüllen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Gerader Verbinder 98" descr="Dekorative Linie">
            <a:extLst>
              <a:ext uri="{FF2B5EF4-FFF2-40B4-BE49-F238E27FC236}">
                <a16:creationId xmlns:a16="http://schemas.microsoft.com/office/drawing/2014/main" id="{00000000-0008-0000-0200-000063000000}"/>
              </a:ext>
            </a:extLst>
          </xdr:cNvPr>
          <xdr:cNvCxnSpPr>
            <a:cxnSpLocks/>
          </xdr:cNvCxnSpPr>
        </xdr:nvCxnSpPr>
        <xdr:spPr>
          <a:xfrm>
            <a:off x="11731599" y="188358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Schaltfläche &quot;Weiter&quot;" descr="Mehr Details erfahren">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918923"/>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101" name="Gerader Verbinder 100" descr="Dekorative Linie">
            <a:extLst>
              <a:ext uri="{FF2B5EF4-FFF2-40B4-BE49-F238E27FC236}">
                <a16:creationId xmlns:a16="http://schemas.microsoft.com/office/drawing/2014/main" id="{00000000-0008-0000-0200-000065000000}"/>
              </a:ext>
            </a:extLst>
          </xdr:cNvPr>
          <xdr:cNvCxnSpPr>
            <a:cxnSpLocks/>
          </xdr:cNvCxnSpPr>
        </xdr:nvCxnSpPr>
        <xdr:spPr>
          <a:xfrm>
            <a:off x="11731599" y="470546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200-000066000000}"/>
              </a:ext>
            </a:extLst>
          </xdr:cNvPr>
          <xdr:cNvSpPr/>
        </xdr:nvSpPr>
        <xdr:spPr>
          <a:xfrm>
            <a:off x="15465201" y="4918923"/>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03" name="Schritt" descr="So verwenden Sie das Ausfüllkästchen in Excel:">
            <a:extLst>
              <a:ext uri="{FF2B5EF4-FFF2-40B4-BE49-F238E27FC236}">
                <a16:creationId xmlns:a16="http://schemas.microsoft.com/office/drawing/2014/main" id="{00000000-0008-0000-0200-000067000000}"/>
              </a:ext>
            </a:extLst>
          </xdr:cNvPr>
          <xdr:cNvSpPr txBox="1"/>
        </xdr:nvSpPr>
        <xdr:spPr>
          <a:xfrm>
            <a:off x="11725275" y="195719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 verwenden Sie das Ausfüllkästchen in Excel:</a:t>
            </a:r>
          </a:p>
        </xdr:txBody>
      </xdr:sp>
      <xdr:sp macro="" textlink="">
        <xdr:nvSpPr>
          <xdr:cNvPr id="104" name="Schritt" descr="Klicken Sie auf die Zelle mit der Zahl 100.">
            <a:extLst>
              <a:ext uri="{FF2B5EF4-FFF2-40B4-BE49-F238E27FC236}">
                <a16:creationId xmlns:a16="http://schemas.microsoft.com/office/drawing/2014/main" id="{00000000-0008-0000-0200-000068000000}"/>
              </a:ext>
            </a:extLst>
          </xdr:cNvPr>
          <xdr:cNvSpPr txBox="1"/>
        </xdr:nvSpPr>
        <xdr:spPr>
          <a:xfrm>
            <a:off x="12135458" y="2303304"/>
            <a:ext cx="4809516" cy="3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die Zelle mit der Zahl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Ellipse 104" descr="1">
            <a:extLst>
              <a:ext uri="{FF2B5EF4-FFF2-40B4-BE49-F238E27FC236}">
                <a16:creationId xmlns:a16="http://schemas.microsoft.com/office/drawing/2014/main" id="{00000000-0008-0000-0200-000069000000}"/>
              </a:ext>
            </a:extLst>
          </xdr:cNvPr>
          <xdr:cNvSpPr/>
        </xdr:nvSpPr>
        <xdr:spPr>
          <a:xfrm>
            <a:off x="11728424" y="22608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06" name="Schritt"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74257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Lassen Sie den Cursor auf der unteren rechten Ecke der Zelle ruhen, bis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 zu einem Kreuz wird:</a:t>
            </a:r>
          </a:p>
        </xdr:txBody>
      </xdr:sp>
      <xdr:sp macro="" textlink="">
        <xdr:nvSpPr>
          <xdr:cNvPr id="107" name="Ellipse 106" descr="2">
            <a:extLst>
              <a:ext uri="{FF2B5EF4-FFF2-40B4-BE49-F238E27FC236}">
                <a16:creationId xmlns:a16="http://schemas.microsoft.com/office/drawing/2014/main" id="{00000000-0008-0000-0200-00006B000000}"/>
              </a:ext>
            </a:extLst>
          </xdr:cNvPr>
          <xdr:cNvSpPr/>
        </xdr:nvSpPr>
        <xdr:spPr>
          <a:xfrm>
            <a:off x="11728424" y="27477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08" name="Schritt" descr="Klicken Sie auf das Kreuz, und ziehen Sie drei Zellen nach unten. Excel füllt die Zellen automatisch mit den Summen: 110, 120 und 130. Dies wird als &quot;Nach unten Ausfüllen&quot; bezeichnet.&#10;">
            <a:extLst>
              <a:ext uri="{FF2B5EF4-FFF2-40B4-BE49-F238E27FC236}">
                <a16:creationId xmlns:a16="http://schemas.microsoft.com/office/drawing/2014/main" id="{00000000-0008-0000-0200-00006C000000}"/>
              </a:ext>
            </a:extLst>
          </xdr:cNvPr>
          <xdr:cNvSpPr txBox="1"/>
        </xdr:nvSpPr>
        <xdr:spPr>
          <a:xfrm>
            <a:off x="12135458" y="327688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das Kreuz, und ziehen Sie drei Zellen nach unten. Excel für die Zellen automatisch mit den Summen: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Dies wird als „nach unten Ausfüllen“ bezeichnet.</a:t>
            </a:r>
          </a:p>
        </xdr:txBody>
      </xdr:sp>
      <xdr:sp macro="" textlink="">
        <xdr:nvSpPr>
          <xdr:cNvPr id="109" name="Ellipse 108" descr="3">
            <a:extLst>
              <a:ext uri="{FF2B5EF4-FFF2-40B4-BE49-F238E27FC236}">
                <a16:creationId xmlns:a16="http://schemas.microsoft.com/office/drawing/2014/main" id="{00000000-0008-0000-0200-00006D000000}"/>
              </a:ext>
            </a:extLst>
          </xdr:cNvPr>
          <xdr:cNvSpPr/>
        </xdr:nvSpPr>
        <xdr:spPr>
          <a:xfrm>
            <a:off x="11728424" y="32725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10" name="Schritt" descr="Wählen Sie die gelbe Zelle mit dem Wert 200 aus, und füllen Sie erneut aus, ziehen Sie aber das Ausfüllkästchen diesmal nach rechts, um die Zellen zu füllen. Dies wird als &quot;Nach Rechts ausfüllen&quot; bezeichnet.">
            <a:extLst>
              <a:ext uri="{FF2B5EF4-FFF2-40B4-BE49-F238E27FC236}">
                <a16:creationId xmlns:a16="http://schemas.microsoft.com/office/drawing/2014/main" id="{00000000-0008-0000-0200-00006E000000}"/>
              </a:ext>
            </a:extLst>
          </xdr:cNvPr>
          <xdr:cNvSpPr txBox="1"/>
        </xdr:nvSpPr>
        <xdr:spPr>
          <a:xfrm>
            <a:off x="12135458" y="392994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die gelbe Zelle mit dem Wert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füllen Sie sie erneut aus, ziehen Sie aber das Ausfüllkästchen diesmal nach </a:t>
            </a:r>
            <a:r>
              <a:rPr lang="de"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rechts</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die Zellen zu füllen. Dies wird als „nach Rechts ausfüllen“ bezeichnet.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Ellipse 110" descr="4">
            <a:extLst>
              <a:ext uri="{FF2B5EF4-FFF2-40B4-BE49-F238E27FC236}">
                <a16:creationId xmlns:a16="http://schemas.microsoft.com/office/drawing/2014/main" id="{00000000-0008-0000-0200-00006F000000}"/>
              </a:ext>
            </a:extLst>
          </xdr:cNvPr>
          <xdr:cNvSpPr/>
        </xdr:nvSpPr>
        <xdr:spPr>
          <a:xfrm>
            <a:off x="11728424" y="388744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3</xdr:row>
      <xdr:rowOff>0</xdr:rowOff>
    </xdr:from>
    <xdr:to>
      <xdr:col>11</xdr:col>
      <xdr:colOff>209549</xdr:colOff>
      <xdr:row>12</xdr:row>
      <xdr:rowOff>55145</xdr:rowOff>
    </xdr:to>
    <xdr:grpSp>
      <xdr:nvGrpSpPr>
        <xdr:cNvPr id="9" name="Gruppe 8" descr="BONUSAUFGABE&#10;Klicken und ziehen Sie, um diese vier Zellen auszuwählen, und drücken Sie dann STRG+D. Das ist die Tastenkombination für das Ausfüllen nach unten. Raten Sie einmal, was die Tastenkombination zum Ausfüllen nach rechts ist. &#10;">
          <a:extLst>
            <a:ext uri="{FF2B5EF4-FFF2-40B4-BE49-F238E27FC236}">
              <a16:creationId xmlns:a16="http://schemas.microsoft.com/office/drawing/2014/main" id="{57EAD499-47B6-45F6-BD42-53FFC059531B}"/>
            </a:ext>
          </a:extLst>
        </xdr:cNvPr>
        <xdr:cNvGrpSpPr/>
      </xdr:nvGrpSpPr>
      <xdr:grpSpPr>
        <a:xfrm>
          <a:off x="10685545" y="1143000"/>
          <a:ext cx="2691364" cy="1773455"/>
          <a:chOff x="9304420" y="1209675"/>
          <a:chExt cx="2592304" cy="1769645"/>
        </a:xfrm>
      </xdr:grpSpPr>
      <xdr:grpSp>
        <xdr:nvGrpSpPr>
          <xdr:cNvPr id="117" name="Gruppe 116" descr="Klammerlini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ihandform: Form 117" descr="Klammerlini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reihandform: Form 118" descr="Klammerlini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Schritt" descr="BONUSAUFGABE&#10;Klicken und ziehen Sie, um diese vier Zellen auszuwählen, und drücken Sie dann STRG+D. Das ist die Tastenkombination für das Ausfüllen nach unten. Raten Sie einmal, was die Tastenkombination zum Ausfüllen nach rechts ist. &#10;">
            <a:extLst>
              <a:ext uri="{FF2B5EF4-FFF2-40B4-BE49-F238E27FC236}">
                <a16:creationId xmlns:a16="http://schemas.microsoft.com/office/drawing/2014/main" id="{00000000-0008-0000-0200-000079000000}"/>
              </a:ext>
            </a:extLst>
          </xdr:cNvPr>
          <xdr:cNvSpPr txBox="1"/>
        </xdr:nvSpPr>
        <xdr:spPr>
          <a:xfrm>
            <a:off x="9923105" y="1209675"/>
            <a:ext cx="1973619"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BONUSAUFGABE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en-US" sz="1100" b="0" i="0" kern="1200" baseline="0">
                <a:solidFill>
                  <a:schemeClr val="dk1"/>
                </a:solidFill>
                <a:effectLst/>
                <a:latin typeface="+mn-lt"/>
                <a:ea typeface="+mn-ea"/>
                <a:cs typeface="+mn-cs"/>
              </a:rPr>
              <a:t>Klicken und ziehen Sie, um diese vier Zellen auszuwählen,</a:t>
            </a:r>
            <a:r>
              <a:rPr lang="de" sz="1100" b="0" i="0" kern="1200" baseline="0">
                <a:solidFill>
                  <a:schemeClr val="dk1"/>
                </a:solidFill>
                <a:effectLst/>
                <a:latin typeface="+mn-lt"/>
                <a:ea typeface="+mn-ea"/>
                <a:cs typeface="+mn-cs"/>
              </a:rPr>
              <a:t> </a:t>
            </a:r>
            <a:r>
              <a:rPr lang="en-US" sz="1100" b="0" i="0" kern="1200" baseline="0">
                <a:solidFill>
                  <a:schemeClr val="dk1"/>
                </a:solidFill>
                <a:effectLst/>
                <a:latin typeface="+mn-lt"/>
                <a:ea typeface="+mn-ea"/>
                <a:cs typeface="+mn-cs"/>
              </a:rPr>
              <a:t>und drücken Sie dann STRG+U.</a:t>
            </a:r>
            <a:r>
              <a:rPr lang="de" sz="1100" b="0" i="0" kern="1200" baseline="0">
                <a:solidFill>
                  <a:schemeClr val="dk1"/>
                </a:solidFill>
                <a:effectLst/>
                <a:latin typeface="+mn-lt"/>
                <a:ea typeface="+mn-ea"/>
                <a:cs typeface="+mn-cs"/>
              </a:rPr>
              <a:t> </a:t>
            </a:r>
            <a:r>
              <a:rPr lang="en-US" sz="1100" b="0" i="0" kern="1200" baseline="0">
                <a:solidFill>
                  <a:schemeClr val="dk1"/>
                </a:solidFill>
                <a:effectLst/>
                <a:latin typeface="+mn-lt"/>
                <a:ea typeface="+mn-ea"/>
                <a:cs typeface="+mn-cs"/>
              </a:rPr>
              <a:t>Das ist die Tastenkombination zum Ausfüllen nach unten.</a:t>
            </a:r>
            <a:r>
              <a:rPr lang="de" sz="1100" b="0" i="0" kern="1200" baseline="0">
                <a:solidFill>
                  <a:schemeClr val="dk1"/>
                </a:solidFill>
                <a:effectLst/>
                <a:latin typeface="+mn-lt"/>
                <a:ea typeface="+mn-ea"/>
                <a:cs typeface="+mn-cs"/>
              </a:rPr>
              <a:t> </a:t>
            </a:r>
            <a:r>
              <a:rPr lang="en-US" sz="1100" b="0" i="0" kern="1200" baseline="0">
                <a:solidFill>
                  <a:schemeClr val="dk1"/>
                </a:solidFill>
                <a:effectLst/>
                <a:latin typeface="+mn-lt"/>
                <a:ea typeface="+mn-ea"/>
                <a:cs typeface="+mn-cs"/>
              </a:rPr>
              <a:t>Nun raten Sie, was die Tastenkombination zum Ausfüllen nach </a:t>
            </a:r>
            <a:r>
              <a:rPr lang="en-US" sz="1100" b="0" i="1" kern="1200" baseline="0">
                <a:solidFill>
                  <a:schemeClr val="dk1"/>
                </a:solidFill>
                <a:effectLst/>
                <a:latin typeface="+mn-lt"/>
                <a:ea typeface="+mn-ea"/>
                <a:cs typeface="+mn-cs"/>
              </a:rPr>
              <a:t>rechts</a:t>
            </a:r>
            <a:r>
              <a:rPr lang="en-US" sz="1100" b="0" i="0" kern="1200" baseline="0">
                <a:solidFill>
                  <a:schemeClr val="dk1"/>
                </a:solidFill>
                <a:effectLst/>
                <a:latin typeface="+mn-lt"/>
                <a:ea typeface="+mn-ea"/>
                <a:cs typeface="+mn-cs"/>
              </a:rPr>
              <a:t> ist.</a:t>
            </a:r>
            <a:r>
              <a:rPr lang="de" sz="1100" b="0" i="0" kern="1200" baseline="0">
                <a:solidFill>
                  <a:schemeClr val="dk1"/>
                </a:solidFill>
                <a:effectLst/>
                <a:latin typeface="+mn-lt"/>
                <a:ea typeface="+mn-ea"/>
                <a:cs typeface="+mn-cs"/>
              </a:rPr>
              <a:t> </a:t>
            </a:r>
            <a:endParaRPr lang="en-US" sz="1100">
              <a:effectLst/>
            </a:endParaRPr>
          </a:p>
        </xdr:txBody>
      </xdr:sp>
      <xdr:pic>
        <xdr:nvPicPr>
          <xdr:cNvPr id="122" name="Grafik 263" descr="Menüband">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45</xdr:row>
      <xdr:rowOff>9525</xdr:rowOff>
    </xdr:to>
    <xdr:grpSp>
      <xdr:nvGrpSpPr>
        <xdr:cNvPr id="114" name="Verwenden Sie das Ausfüllkästchen zum Kopieren der Zellen"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8727" y="5483663"/>
          <a:ext cx="5707380" cy="3671767"/>
          <a:chOff x="0" y="-9524"/>
          <a:chExt cx="5695950" cy="3662490"/>
        </a:xfrm>
      </xdr:grpSpPr>
      <xdr:sp macro="" textlink="">
        <xdr:nvSpPr>
          <xdr:cNvPr id="115" name="Rechteck 114" descr="Hintergrund">
            <a:extLst>
              <a:ext uri="{FF2B5EF4-FFF2-40B4-BE49-F238E27FC236}">
                <a16:creationId xmlns:a16="http://schemas.microsoft.com/office/drawing/2014/main" id="{00000000-0008-0000-0200-000073000000}"/>
              </a:ext>
            </a:extLst>
          </xdr:cNvPr>
          <xdr:cNvSpPr/>
        </xdr:nvSpPr>
        <xdr:spPr>
          <a:xfrm>
            <a:off x="0" y="-9524"/>
            <a:ext cx="5695950" cy="366249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6" name="Schritt" descr="Verwenden Sie das Ausfüllkästchen zum Kopieren der Zellen">
            <a:extLst>
              <a:ext uri="{FF2B5EF4-FFF2-40B4-BE49-F238E27FC236}">
                <a16:creationId xmlns:a16="http://schemas.microsoft.com/office/drawing/2014/main" id="{00000000-0008-0000-0200-000074000000}"/>
              </a:ext>
            </a:extLst>
          </xdr:cNvPr>
          <xdr:cNvSpPr txBox="1"/>
        </xdr:nvSpPr>
        <xdr:spPr>
          <a:xfrm>
            <a:off x="231748" y="118698"/>
            <a:ext cx="5216551" cy="89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Verwenden Sie das Ausfüllkästchen zum Kopieren der Zellen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Gerader Verbinder 122" descr="Dekorative Linie">
            <a:extLst>
              <a:ext uri="{FF2B5EF4-FFF2-40B4-BE49-F238E27FC236}">
                <a16:creationId xmlns:a16="http://schemas.microsoft.com/office/drawing/2014/main" id="{00000000-0008-0000-0200-00007B000000}"/>
              </a:ext>
            </a:extLst>
          </xdr:cNvPr>
          <xdr:cNvCxnSpPr>
            <a:cxnSpLocks/>
          </xdr:cNvCxnSpPr>
        </xdr:nvCxnSpPr>
        <xdr:spPr>
          <a:xfrm>
            <a:off x="234924" y="104436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Gerader Verbinder 123" descr="Dekorative Linie">
            <a:extLst>
              <a:ext uri="{FF2B5EF4-FFF2-40B4-BE49-F238E27FC236}">
                <a16:creationId xmlns:a16="http://schemas.microsoft.com/office/drawing/2014/main" id="{00000000-0008-0000-0200-00007C000000}"/>
              </a:ext>
            </a:extLst>
          </xdr:cNvPr>
          <xdr:cNvCxnSpPr>
            <a:cxnSpLocks/>
          </xdr:cNvCxnSpPr>
        </xdr:nvCxnSpPr>
        <xdr:spPr>
          <a:xfrm>
            <a:off x="234924" y="342706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chritt" descr="Manchmal sollen sich die Zahlen beim Ausfüllen nicht ändern. Stattdessen möchten Sie einfach nur Werte in andere, angrenzende Zellen kopieren. Das erreichen Sie so:">
            <a:extLst>
              <a:ext uri="{FF2B5EF4-FFF2-40B4-BE49-F238E27FC236}">
                <a16:creationId xmlns:a16="http://schemas.microsoft.com/office/drawing/2014/main" id="{00000000-0008-0000-0200-00007D000000}"/>
              </a:ext>
            </a:extLst>
          </xdr:cNvPr>
          <xdr:cNvSpPr txBox="1"/>
        </xdr:nvSpPr>
        <xdr:spPr>
          <a:xfrm>
            <a:off x="228600" y="1117978"/>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Manchmal sollen sich die Zahlen beim Ausfüllen nicht ändern. Stattdessen möchten Sie einfach nur Werte in andere, angrenzende Zellen kopieren. Das erreichen Sie so:</a:t>
            </a:r>
          </a:p>
        </xdr:txBody>
      </xdr:sp>
      <xdr:sp macro="" textlink="">
        <xdr:nvSpPr>
          <xdr:cNvPr id="126" name="Schritt" descr="Lassen Sie den Cursor auf der unteren rechten Ecke der Zelle ruhen, bis er zu einem Kreuz wird, und ziehen Sie dann drei Zellen nach unten.">
            <a:extLst>
              <a:ext uri="{FF2B5EF4-FFF2-40B4-BE49-F238E27FC236}">
                <a16:creationId xmlns:a16="http://schemas.microsoft.com/office/drawing/2014/main" id="{00000000-0008-0000-0200-00007E000000}"/>
              </a:ext>
            </a:extLst>
          </xdr:cNvPr>
          <xdr:cNvSpPr txBox="1"/>
        </xdr:nvSpPr>
        <xdr:spPr>
          <a:xfrm>
            <a:off x="638783" y="1644738"/>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die Zelle mit dem Begriff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Obst und Gemüse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Lassen Sie den Cursor auf der unteren rechten Ecke der Zelle ruhen, bis er zu einem Kreuz wird, und ziehen Sie dann drei Zellen nach unten.</a:t>
            </a:r>
          </a:p>
        </xdr:txBody>
      </xdr:sp>
      <xdr:sp macro="" textlink="">
        <xdr:nvSpPr>
          <xdr:cNvPr id="127" name="Ellipse 126" descr="1">
            <a:extLst>
              <a:ext uri="{FF2B5EF4-FFF2-40B4-BE49-F238E27FC236}">
                <a16:creationId xmlns:a16="http://schemas.microsoft.com/office/drawing/2014/main" id="{00000000-0008-0000-0200-00007F000000}"/>
              </a:ext>
            </a:extLst>
          </xdr:cNvPr>
          <xdr:cNvSpPr/>
        </xdr:nvSpPr>
        <xdr:spPr>
          <a:xfrm>
            <a:off x="231749" y="164976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28" name="Schritt"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2283623"/>
            <a:ext cx="4862276" cy="10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Wählen Sie jetzt die Zelle mit dem Wort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 Lassen Sie wiederum den Cursor auf der unteren rechten Ecke ruhen, und doppelklicken Sie, wenn er zum Kreuz geworden ist. Das ist eine andere Möglichkeit zum Ausfüllen nach unten, für den Fall, dass Sie einmal eine lange Spalte ausfüllen müssen. </a:t>
            </a:r>
          </a:p>
        </xdr:txBody>
      </xdr:sp>
      <xdr:sp macro="" textlink="">
        <xdr:nvSpPr>
          <xdr:cNvPr id="129" name="Ellipse 128" descr="2">
            <a:extLst>
              <a:ext uri="{FF2B5EF4-FFF2-40B4-BE49-F238E27FC236}">
                <a16:creationId xmlns:a16="http://schemas.microsoft.com/office/drawing/2014/main" id="{00000000-0008-0000-0200-000081000000}"/>
              </a:ext>
            </a:extLst>
          </xdr:cNvPr>
          <xdr:cNvSpPr/>
        </xdr:nvSpPr>
        <xdr:spPr>
          <a:xfrm>
            <a:off x="231749" y="228865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3</xdr:col>
      <xdr:colOff>142875</xdr:colOff>
      <xdr:row>46</xdr:row>
      <xdr:rowOff>44429</xdr:rowOff>
    </xdr:from>
    <xdr:to>
      <xdr:col>9</xdr:col>
      <xdr:colOff>352424</xdr:colOff>
      <xdr:row>58</xdr:row>
      <xdr:rowOff>66675</xdr:rowOff>
    </xdr:to>
    <xdr:grpSp>
      <xdr:nvGrpSpPr>
        <xdr:cNvPr id="4" name="Gruppieren 3" descr="WICHTIGES DETAIL&#10;Wählen Sie diese Zelle aus, und ziehen Sie dann das Ausfüllkästchen 3 Zellen nach unten. Klicken Sie anschließend auf diese Schaltfläche: Dies ist die Schaltfläche AutoAusfüllen-Optionen, und hier können Sie die Füllung unmittelbar nach dem Vorgang ändern. Wählen Sie eine Option aus, wie &quot;Zellen kopieren&quot; oder &quot;Nur Formate ausfüllen&quot;. Sie können nie wissen, wann diese Optionen Ihnen einmal nützlich sein werden.&#10;&#10;">
          <a:extLst>
            <a:ext uri="{FF2B5EF4-FFF2-40B4-BE49-F238E27FC236}">
              <a16:creationId xmlns:a16="http://schemas.microsoft.com/office/drawing/2014/main" id="{B7960B44-C8E9-4F1E-A9E9-67C3B65C9601}"/>
            </a:ext>
          </a:extLst>
        </xdr:cNvPr>
        <xdr:cNvGrpSpPr/>
      </xdr:nvGrpSpPr>
      <xdr:grpSpPr>
        <a:xfrm>
          <a:off x="7989570" y="9380834"/>
          <a:ext cx="4309109" cy="2304436"/>
          <a:chOff x="7772400" y="9845654"/>
          <a:chExt cx="4190999" cy="2308246"/>
        </a:xfrm>
      </xdr:grpSpPr>
      <xdr:sp macro="" textlink="">
        <xdr:nvSpPr>
          <xdr:cNvPr id="80" name="Freihandform: Form 79" descr="Pfeil">
            <a:extLst>
              <a:ext uri="{FF2B5EF4-FFF2-40B4-BE49-F238E27FC236}">
                <a16:creationId xmlns:a16="http://schemas.microsoft.com/office/drawing/2014/main" id="{00000000-0008-0000-0200-000050000000}"/>
              </a:ext>
            </a:extLst>
          </xdr:cNvPr>
          <xdr:cNvSpPr/>
        </xdr:nvSpPr>
        <xdr:spPr>
          <a:xfrm>
            <a:off x="9629775" y="9845654"/>
            <a:ext cx="699820"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42" name="Schritt" descr="WICHTIGES DETAIL&#10;Wählen Sie diese Zelle aus, und ziehen Sie dann das Ausfüllkästchen 3 Zellen nach unten. Klicken Sie anschließend auf diese Schaltfläche: Dies ist die Schaltfläche AutoAusfüllen-Optionen, und hier können Sie die Füllung unmittelbar nach dem Vorgang ändern. Wählen Sie eine Option aus, wie &quot;Zellen kopieren&quot; oder &quot;Nur Formate ausfüllen&quot;. Sie können nie wissen, wann diese Optionen Ihnen einmal nützlich sein werden.&#10;&#10;">
            <a:extLst>
              <a:ext uri="{FF2B5EF4-FFF2-40B4-BE49-F238E27FC236}">
                <a16:creationId xmlns:a16="http://schemas.microsoft.com/office/drawing/2014/main" id="{00000000-0008-0000-0200-00008E000000}"/>
              </a:ext>
            </a:extLst>
          </xdr:cNvPr>
          <xdr:cNvSpPr txBox="1"/>
        </xdr:nvSpPr>
        <xdr:spPr>
          <a:xfrm>
            <a:off x="8143874" y="10623960"/>
            <a:ext cx="3819525"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Wählen Sie diese Zelle aus, und ziehen Sie dann das Ausfüllkästchen 3 Zellen nach unten. Klicken Sie anschließend auf diese Schaltfläche: Dies ist die Schaltfläche </a:t>
            </a:r>
            <a:r>
              <a:rPr lang="de" sz="1100" b="1" i="0" kern="1200" baseline="0">
                <a:solidFill>
                  <a:schemeClr val="dk1"/>
                </a:solidFill>
                <a:effectLst/>
                <a:latin typeface="+mn-lt"/>
                <a:ea typeface="+mn-ea"/>
                <a:cs typeface="+mn-cs"/>
              </a:rPr>
              <a:t>Auto</a:t>
            </a:r>
            <a:r>
              <a:rPr lang="de-DE" sz="1800" b="1" i="0" kern="1200" baseline="0">
                <a:solidFill>
                  <a:schemeClr val="dk1"/>
                </a:solidFill>
                <a:effectLst/>
                <a:latin typeface="+mn-lt"/>
                <a:ea typeface="+mn-ea"/>
                <a:cs typeface="+mn-cs"/>
              </a:rPr>
              <a:t>-</a:t>
            </a:r>
            <a:r>
              <a:rPr lang="de" sz="1100" b="1" i="0" kern="1200" baseline="0">
                <a:solidFill>
                  <a:schemeClr val="dk1"/>
                </a:solidFill>
                <a:effectLst/>
                <a:latin typeface="+mn-lt"/>
                <a:ea typeface="+mn-ea"/>
                <a:cs typeface="+mn-cs"/>
              </a:rPr>
              <a:t>Ausfülloptionen</a:t>
            </a:r>
            <a:r>
              <a:rPr lang="de" sz="1100" b="0" i="0" kern="1200" baseline="0">
                <a:solidFill>
                  <a:schemeClr val="dk1"/>
                </a:solidFill>
                <a:effectLst/>
                <a:latin typeface="+mn-lt"/>
                <a:ea typeface="+mn-ea"/>
                <a:cs typeface="+mn-cs"/>
              </a:rPr>
              <a:t>, und hier können Sie die Füllung unmittelbar nach dem Vorgang ändern. Wählen Sie eine Option aus, wie "Zellen kopieren" oder "Nur Formate ausfüllen". Sie können nie wissen, wann diese Optionen Ihnen einmal nützlich sein werden.</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Grafik 147" descr="Brille">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72400" y="10585887"/>
            <a:ext cx="323835" cy="364733"/>
          </a:xfrm>
          <a:prstGeom prst="rect">
            <a:avLst/>
          </a:prstGeom>
        </xdr:spPr>
      </xdr:pic>
      <xdr:pic>
        <xdr:nvPicPr>
          <xdr:cNvPr id="2" name="Bild 1" descr="AutoAusfüllen-Optionen">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11179767" y="10817912"/>
            <a:ext cx="189507" cy="191986"/>
          </a:xfrm>
          <a:prstGeom prst="rect">
            <a:avLst/>
          </a:prstGeom>
        </xdr:spPr>
      </xdr:pic>
    </xdr:grpSp>
    <xdr:clientData/>
  </xdr:twoCellAnchor>
  <xdr:twoCellAnchor editAs="oneCell">
    <xdr:from>
      <xdr:col>0</xdr:col>
      <xdr:colOff>382530</xdr:colOff>
      <xdr:row>46</xdr:row>
      <xdr:rowOff>15818</xdr:rowOff>
    </xdr:from>
    <xdr:to>
      <xdr:col>1</xdr:col>
      <xdr:colOff>5230755</xdr:colOff>
      <xdr:row>67</xdr:row>
      <xdr:rowOff>9526</xdr:rowOff>
    </xdr:to>
    <xdr:grpSp>
      <xdr:nvGrpSpPr>
        <xdr:cNvPr id="163" name="Ausfüllen einer Datenreihe"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82530" y="9354128"/>
          <a:ext cx="5716905" cy="3992303"/>
          <a:chOff x="0" y="-9523"/>
          <a:chExt cx="5695950" cy="3890854"/>
        </a:xfrm>
      </xdr:grpSpPr>
      <xdr:sp macro="" textlink="">
        <xdr:nvSpPr>
          <xdr:cNvPr id="164" name="Rechteck 163" descr="Hintergrund">
            <a:extLst>
              <a:ext uri="{FF2B5EF4-FFF2-40B4-BE49-F238E27FC236}">
                <a16:creationId xmlns:a16="http://schemas.microsoft.com/office/drawing/2014/main" id="{00000000-0008-0000-0200-0000A4000000}"/>
              </a:ext>
            </a:extLst>
          </xdr:cNvPr>
          <xdr:cNvSpPr/>
        </xdr:nvSpPr>
        <xdr:spPr>
          <a:xfrm>
            <a:off x="0" y="-9523"/>
            <a:ext cx="5695950" cy="38908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5" name="Schritt" descr="Ausfüllen einer Datenreih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Ausfüllen einer Datenreihe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Gerader Verbinder 165" descr="Dekorative Lini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Gerader Verbinder 166" descr="Dekorative Linie">
            <a:extLst>
              <a:ext uri="{FF2B5EF4-FFF2-40B4-BE49-F238E27FC236}">
                <a16:creationId xmlns:a16="http://schemas.microsoft.com/office/drawing/2014/main" id="{00000000-0008-0000-0200-0000A7000000}"/>
              </a:ext>
            </a:extLst>
          </xdr:cNvPr>
          <xdr:cNvCxnSpPr>
            <a:cxnSpLocks/>
          </xdr:cNvCxnSpPr>
        </xdr:nvCxnSpPr>
        <xdr:spPr>
          <a:xfrm>
            <a:off x="234924" y="35946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chritt" descr="Excel kann einige Zellen automatisch auf der Grundlage einer Datenreihe ausfüllen. Beispielsweise können Sie in eine Zelle &quot;Jan&quot; eingeben und dann die anderen Zellen mit &quot;Feb&quot;, &quot;Mrz&quot; usw. ausfüllen.">
            <a:extLst>
              <a:ext uri="{FF2B5EF4-FFF2-40B4-BE49-F238E27FC236}">
                <a16:creationId xmlns:a16="http://schemas.microsoft.com/office/drawing/2014/main" id="{00000000-0008-0000-0200-0000A8000000}"/>
              </a:ext>
            </a:extLst>
          </xdr:cNvPr>
          <xdr:cNvSpPr txBox="1"/>
        </xdr:nvSpPr>
        <xdr:spPr>
          <a:xfrm>
            <a:off x="228600" y="699721"/>
            <a:ext cx="5237220" cy="648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i="0" kern="1200">
                <a:solidFill>
                  <a:schemeClr val="tx1">
                    <a:lumMod val="75000"/>
                    <a:lumOff val="25000"/>
                  </a:schemeClr>
                </a:solidFill>
                <a:effectLst/>
                <a:latin typeface="Segoe UI" panose="020B0502040204020203" pitchFamily="34" charset="0"/>
                <a:ea typeface="+mn-ea"/>
                <a:cs typeface="+mn-cs"/>
              </a:rPr>
              <a:t>Excel kann einige Zellen automatisch auf der Grundlage einer Datenreihe ausfüllen. Beispielsweise können Sie in eine Zelle "Jan" eingeben und dann die anderen Zellen mit "Feb", "Mrz" usw. ausfüllen. </a:t>
            </a:r>
            <a:endParaRPr lang="en-US" sz="1100" i="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69" name="Schritt" descr="Klicken Sie auf die Zelle mit dem Wort Jan.">
            <a:extLst>
              <a:ext uri="{FF2B5EF4-FFF2-40B4-BE49-F238E27FC236}">
                <a16:creationId xmlns:a16="http://schemas.microsoft.com/office/drawing/2014/main" id="{00000000-0008-0000-0200-0000A9000000}"/>
              </a:ext>
            </a:extLst>
          </xdr:cNvPr>
          <xdr:cNvSpPr txBox="1"/>
        </xdr:nvSpPr>
        <xdr:spPr>
          <a:xfrm>
            <a:off x="638783" y="1393037"/>
            <a:ext cx="4809516" cy="307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die Zelle mit dem Wort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Ellipse 169" descr="1">
            <a:extLst>
              <a:ext uri="{FF2B5EF4-FFF2-40B4-BE49-F238E27FC236}">
                <a16:creationId xmlns:a16="http://schemas.microsoft.com/office/drawing/2014/main" id="{00000000-0008-0000-0200-0000AA000000}"/>
              </a:ext>
            </a:extLst>
          </xdr:cNvPr>
          <xdr:cNvSpPr/>
        </xdr:nvSpPr>
        <xdr:spPr>
          <a:xfrm>
            <a:off x="231749" y="13319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71" name="Schritt" descr="Lassen Sie den Cursor auf der unteren rechten Ecke der Zelle ruhen, bis er zu einem Kreuz wird, und ziehen Sie dann zwei Zellen nach rechts. Excel erkennt eine Datenreihe und setzt &quot;Feb&quot; und &quot;Mrz&quot; für Sie ein.">
            <a:extLst>
              <a:ext uri="{FF2B5EF4-FFF2-40B4-BE49-F238E27FC236}">
                <a16:creationId xmlns:a16="http://schemas.microsoft.com/office/drawing/2014/main" id="{00000000-0008-0000-0200-0000AB000000}"/>
              </a:ext>
            </a:extLst>
          </xdr:cNvPr>
          <xdr:cNvSpPr txBox="1"/>
        </xdr:nvSpPr>
        <xdr:spPr>
          <a:xfrm>
            <a:off x="638782" y="1804701"/>
            <a:ext cx="4809517" cy="69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Lassen Sie den Cursor auf der unteren rechten Ecke der Zelle ruhen, bis er zu einem Kreuz wird, und ziehen Sie dann zwei Zellen nach rechts. Excel erkennt eine Datenreihe und setzt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Mrz.</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für Sie ein.</a:t>
            </a:r>
          </a:p>
        </xdr:txBody>
      </xdr:sp>
      <xdr:sp macro="" textlink="">
        <xdr:nvSpPr>
          <xdr:cNvPr id="172" name="Ellipse 171" descr="2">
            <a:extLst>
              <a:ext uri="{FF2B5EF4-FFF2-40B4-BE49-F238E27FC236}">
                <a16:creationId xmlns:a16="http://schemas.microsoft.com/office/drawing/2014/main" id="{00000000-0008-0000-0200-0000AC000000}"/>
              </a:ext>
            </a:extLst>
          </xdr:cNvPr>
          <xdr:cNvSpPr/>
        </xdr:nvSpPr>
        <xdr:spPr>
          <a:xfrm>
            <a:off x="231749" y="180859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73" name="Schritt" descr="Wählen Sie jetzt die Zelle mit Woche 1 aus.">
            <a:extLst>
              <a:ext uri="{FF2B5EF4-FFF2-40B4-BE49-F238E27FC236}">
                <a16:creationId xmlns:a16="http://schemas.microsoft.com/office/drawing/2014/main" id="{00000000-0008-0000-0200-0000AD000000}"/>
              </a:ext>
            </a:extLst>
          </xdr:cNvPr>
          <xdr:cNvSpPr txBox="1"/>
        </xdr:nvSpPr>
        <xdr:spPr>
          <a:xfrm>
            <a:off x="638782" y="2525797"/>
            <a:ext cx="4809517" cy="35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Wählen Sie jetzt die Zelle mit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Woche 1</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 </a:t>
            </a:r>
          </a:p>
        </xdr:txBody>
      </xdr:sp>
      <xdr:sp macro="" textlink="">
        <xdr:nvSpPr>
          <xdr:cNvPr id="174" name="Ellipse 173" descr="3">
            <a:extLst>
              <a:ext uri="{FF2B5EF4-FFF2-40B4-BE49-F238E27FC236}">
                <a16:creationId xmlns:a16="http://schemas.microsoft.com/office/drawing/2014/main" id="{00000000-0008-0000-0200-0000AE000000}"/>
              </a:ext>
            </a:extLst>
          </xdr:cNvPr>
          <xdr:cNvSpPr/>
        </xdr:nvSpPr>
        <xdr:spPr>
          <a:xfrm>
            <a:off x="231749" y="246474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75" name="Schritt" descr="Lassen Sie wiederum den Cursor auf der unteren rechten Ecke ruhen, und doppelklicken Sie, wenn er zum Kreuz geworden ist.">
            <a:extLst>
              <a:ext uri="{FF2B5EF4-FFF2-40B4-BE49-F238E27FC236}">
                <a16:creationId xmlns:a16="http://schemas.microsoft.com/office/drawing/2014/main" id="{00000000-0008-0000-0200-0000AF000000}"/>
              </a:ext>
            </a:extLst>
          </xdr:cNvPr>
          <xdr:cNvSpPr txBox="1"/>
        </xdr:nvSpPr>
        <xdr:spPr>
          <a:xfrm>
            <a:off x="638782" y="294441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Lassen Sie wiederum den Cursor auf der unteren rechten Ecke ruhen, und </a:t>
            </a:r>
            <a:r>
              <a:rPr lang="de"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doppelklicken Sie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wenn er zum Kreuz geworden ist. </a:t>
            </a:r>
          </a:p>
        </xdr:txBody>
      </xdr:sp>
      <xdr:sp macro="" textlink="">
        <xdr:nvSpPr>
          <xdr:cNvPr id="176" name="Ellipse 175" descr="4">
            <a:extLst>
              <a:ext uri="{FF2B5EF4-FFF2-40B4-BE49-F238E27FC236}">
                <a16:creationId xmlns:a16="http://schemas.microsoft.com/office/drawing/2014/main" id="{00000000-0008-0000-0200-0000B0000000}"/>
              </a:ext>
            </a:extLst>
          </xdr:cNvPr>
          <xdr:cNvSpPr/>
        </xdr:nvSpPr>
        <xdr:spPr>
          <a:xfrm>
            <a:off x="231749" y="294831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373005</xdr:colOff>
      <xdr:row>68</xdr:row>
      <xdr:rowOff>7520</xdr:rowOff>
    </xdr:from>
    <xdr:to>
      <xdr:col>1</xdr:col>
      <xdr:colOff>5221230</xdr:colOff>
      <xdr:row>82</xdr:row>
      <xdr:rowOff>147220</xdr:rowOff>
    </xdr:to>
    <xdr:grpSp>
      <xdr:nvGrpSpPr>
        <xdr:cNvPr id="187" name="Mehr im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71100" y="13534925"/>
          <a:ext cx="5716905" cy="2802890"/>
          <a:chOff x="0" y="1"/>
          <a:chExt cx="5695950" cy="2806700"/>
        </a:xfrm>
      </xdr:grpSpPr>
      <xdr:sp macro="" textlink="">
        <xdr:nvSpPr>
          <xdr:cNvPr id="188" name="Rechteck 187" descr="Hintergr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9" name="Schritt" descr="Weitere Informationen im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Gerader Verbinder 189" descr="Dekorative Lini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Schaltfläche &quot;Weiter&quot;" descr="Zurück zum Anfang, mit Link zur Zelle A1">
            <a:hlinkClick xmlns:r="http://schemas.openxmlformats.org/officeDocument/2006/relationships" r:id="rId8" tooltip="Auswählen, um zur Zelle A1 auf diesem Arbeitsblatt zu gelangen"/>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92" name="Gerader Verbinder 191" descr="Dekorative Lini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200-0000C1000000}"/>
              </a:ext>
            </a:extLst>
          </xdr:cNvPr>
          <xdr:cNvSpPr/>
        </xdr:nvSpPr>
        <xdr:spPr>
          <a:xfrm>
            <a:off x="3989444" y="2220914"/>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94" name="Schritt" descr="Automatisches Ausfüllen von Arbeitsblattzellen mit Daten, mit Link ins Web">
            <a:hlinkClick xmlns:r="http://schemas.openxmlformats.org/officeDocument/2006/relationships" r:id="rId9" tooltip="Auswählen, um Informationen im Web zum automatischen Auffüllen von Arbeitsblattzellen mit Daten anzuzeigen"/>
            <a:extLst>
              <a:ext uri="{FF2B5EF4-FFF2-40B4-BE49-F238E27FC236}">
                <a16:creationId xmlns:a16="http://schemas.microsoft.com/office/drawing/2014/main" id="{00000000-0008-0000-0200-0000C2000000}"/>
              </a:ext>
            </a:extLst>
          </xdr:cNvPr>
          <xdr:cNvSpPr txBox="1"/>
        </xdr:nvSpPr>
        <xdr:spPr>
          <a:xfrm>
            <a:off x="638783" y="794849"/>
            <a:ext cx="456986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Automatisches Ausfüllen von Arbeitsblattzellen mit Daten</a:t>
            </a:r>
          </a:p>
        </xdr:txBody>
      </xdr:sp>
      <xdr:pic>
        <xdr:nvPicPr>
          <xdr:cNvPr id="195"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chritt" descr="Ausfüllen einer Formel nach unten in angrenzende Zellen, mit Link ins Web">
            <a:hlinkClick xmlns:r="http://schemas.openxmlformats.org/officeDocument/2006/relationships" r:id="rId12" tooltip="Auswählen, um Informationen im Web zum Ausfüllen einer Formel abwärts in benachbarte Zellen anzuzeigen"/>
            <a:extLst>
              <a:ext uri="{FF2B5EF4-FFF2-40B4-BE49-F238E27FC236}">
                <a16:creationId xmlns:a16="http://schemas.microsoft.com/office/drawing/2014/main" id="{00000000-0008-0000-0200-0000C4000000}"/>
              </a:ext>
            </a:extLst>
          </xdr:cNvPr>
          <xdr:cNvSpPr txBox="1"/>
        </xdr:nvSpPr>
        <xdr:spPr>
          <a:xfrm>
            <a:off x="638783" y="1259456"/>
            <a:ext cx="421743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Ausfüllen benachbarter Zellen mit einer Formel</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608236" y="2372657"/>
    <xdr:ext cx="614224" cy="252734"/>
    <xdr:pic>
      <xdr:nvPicPr>
        <xdr:cNvPr id="81" name="Anweisung" descr="Untere rechte Ecke der Zelle">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608236" y="2372657"/>
          <a:ext cx="614224" cy="252734"/>
        </a:xfrm>
        <a:prstGeom prst="rect">
          <a:avLst/>
        </a:prstGeom>
      </xdr:spPr>
    </xdr:pic>
    <xdr:clientData/>
  </xdr:absoluteAnchor>
  <xdr:twoCellAnchor editAs="oneCell">
    <xdr:from>
      <xdr:col>2</xdr:col>
      <xdr:colOff>34290</xdr:colOff>
      <xdr:row>61</xdr:row>
      <xdr:rowOff>108757</xdr:rowOff>
    </xdr:from>
    <xdr:to>
      <xdr:col>7</xdr:col>
      <xdr:colOff>342899</xdr:colOff>
      <xdr:row>69</xdr:row>
      <xdr:rowOff>133349</xdr:rowOff>
    </xdr:to>
    <xdr:grpSp>
      <xdr:nvGrpSpPr>
        <xdr:cNvPr id="10" name="EINFACH AUSPROBIEREN" descr="Wählen Sie diese beiden Zellen aus, und ziehen Sie dann das Ausfüllkästchen nach rechts. Excel füllt die Datenreihe in Schritten von 15 aus. Ändern Sie die 15 und 30 versuchsweise in andere Werte, wie 1 und 1,8. Oder Montag und Mittwoch. Oder Januar und März. Und füllen Sie jeweils nach rechts aus... sehen Sie sich an, was passiert!">
          <a:extLst>
            <a:ext uri="{FF2B5EF4-FFF2-40B4-BE49-F238E27FC236}">
              <a16:creationId xmlns:a16="http://schemas.microsoft.com/office/drawing/2014/main" id="{00000000-0008-0000-0200-00000A000000}"/>
            </a:ext>
          </a:extLst>
        </xdr:cNvPr>
        <xdr:cNvGrpSpPr/>
      </xdr:nvGrpSpPr>
      <xdr:grpSpPr>
        <a:xfrm>
          <a:off x="6587490" y="12298852"/>
          <a:ext cx="4480559" cy="1554307"/>
          <a:chOff x="6377940" y="12710332"/>
          <a:chExt cx="4366259" cy="1548592"/>
        </a:xfrm>
      </xdr:grpSpPr>
      <xdr:sp macro="" textlink="">
        <xdr:nvSpPr>
          <xdr:cNvPr id="147" name="Schritt" descr="EINFACH AUSPROBIEREN&#10;Wählen Sie diese beiden Zellen aus, und ziehen Sie dann das Ausfüllkästchen nach rechts. Excel füllt die Datenreihe in Schritten von 15 aus. Ändern Sie die 15 und 30 versuchsweise in andere Werte, wie 1 und 1,8. Oder Montag und Mittwoch. Oder Januar und März. Und füllen Sie jeweils nach rechts aus... sehen Sie sich an, was passiert!&#10;">
            <a:extLst>
              <a:ext uri="{FF2B5EF4-FFF2-40B4-BE49-F238E27FC236}">
                <a16:creationId xmlns:a16="http://schemas.microsoft.com/office/drawing/2014/main" id="{00000000-0008-0000-0200-000093000000}"/>
              </a:ext>
            </a:extLst>
          </xdr:cNvPr>
          <xdr:cNvSpPr txBox="1"/>
        </xdr:nvSpPr>
        <xdr:spPr>
          <a:xfrm>
            <a:off x="6902884" y="12923419"/>
            <a:ext cx="3841315"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EINFACH AUSPROBIEREN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Wählen Sie diese beiden Zellen aus, und ziehen Sie dann das Ausfüllkästchen nach rechts. Excel füllt die Datenreihe in Schritten von 15 aus. Ändern Sie die 15 und 30 versuchsweise in andere Werte, wie 1 und 1,8. Oder Montag und Mittwoch. Oder Januar und März. Und füllen Sie jeweils nach rechts aus... sehen Sie sich an, was passiert!</a:t>
            </a:r>
          </a:p>
        </xdr:txBody>
      </xdr:sp>
      <xdr:sp macro="" textlink="">
        <xdr:nvSpPr>
          <xdr:cNvPr id="149" name="Freihandform: Form 148" descr="Klammerlinie">
            <a:extLst>
              <a:ext uri="{FF2B5EF4-FFF2-40B4-BE49-F238E27FC236}">
                <a16:creationId xmlns:a16="http://schemas.microsoft.com/office/drawing/2014/main" id="{00000000-0008-0000-0200-000095000000}"/>
              </a:ext>
            </a:extLst>
          </xdr:cNvPr>
          <xdr:cNvSpPr/>
        </xdr:nvSpPr>
        <xdr:spPr>
          <a:xfrm rot="5400000">
            <a:off x="7825410" y="12342955"/>
            <a:ext cx="181608" cy="91930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8" name="Freihandform: Form 197" descr="Klammerlinie">
            <a:extLst>
              <a:ext uri="{FF2B5EF4-FFF2-40B4-BE49-F238E27FC236}">
                <a16:creationId xmlns:a16="http://schemas.microsoft.com/office/drawing/2014/main" id="{00000000-0008-0000-0200-0000C6000000}"/>
              </a:ext>
            </a:extLst>
          </xdr:cNvPr>
          <xdr:cNvSpPr/>
        </xdr:nvSpPr>
        <xdr:spPr>
          <a:xfrm rot="16200000" flipH="1">
            <a:off x="6771849" y="12316423"/>
            <a:ext cx="183793" cy="971611"/>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 name="Bogen 2">
            <a:extLst>
              <a:ext uri="{FF2B5EF4-FFF2-40B4-BE49-F238E27FC236}">
                <a16:creationId xmlns:a16="http://schemas.microsoft.com/office/drawing/2014/main" id="{00000000-0008-0000-0200-000003000000}"/>
              </a:ext>
            </a:extLst>
          </xdr:cNvPr>
          <xdr:cNvSpPr/>
        </xdr:nvSpPr>
        <xdr:spPr>
          <a:xfrm>
            <a:off x="7241533"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9" name="Bogen 198">
            <a:extLst>
              <a:ext uri="{FF2B5EF4-FFF2-40B4-BE49-F238E27FC236}">
                <a16:creationId xmlns:a16="http://schemas.microsoft.com/office/drawing/2014/main" id="{00000000-0008-0000-0200-0000C7000000}"/>
              </a:ext>
            </a:extLst>
          </xdr:cNvPr>
          <xdr:cNvSpPr/>
        </xdr:nvSpPr>
        <xdr:spPr>
          <a:xfrm flipH="1">
            <a:off x="7427510"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afik 96" descr="Glaskolben">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670675"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10</xdr:row>
      <xdr:rowOff>0</xdr:rowOff>
    </xdr:from>
    <xdr:to>
      <xdr:col>5</xdr:col>
      <xdr:colOff>171450</xdr:colOff>
      <xdr:row>16</xdr:row>
      <xdr:rowOff>85724</xdr:rowOff>
    </xdr:to>
    <xdr:grpSp>
      <xdr:nvGrpSpPr>
        <xdr:cNvPr id="7" name="WISSENSWERTES" descr="WISSENSWERTES: STRG+E ist die Tastenkombination für die Blitzvorschau.">
          <a:extLst>
            <a:ext uri="{FF2B5EF4-FFF2-40B4-BE49-F238E27FC236}">
              <a16:creationId xmlns:a16="http://schemas.microsoft.com/office/drawing/2014/main" id="{00000000-0008-0000-0300-000007000000}"/>
            </a:ext>
          </a:extLst>
        </xdr:cNvPr>
        <xdr:cNvGrpSpPr/>
      </xdr:nvGrpSpPr>
      <xdr:grpSpPr>
        <a:xfrm>
          <a:off x="8599169" y="2476500"/>
          <a:ext cx="2122171" cy="1230629"/>
          <a:chOff x="8420099" y="2619375"/>
          <a:chExt cx="2000251" cy="1228724"/>
        </a:xfrm>
      </xdr:grpSpPr>
      <xdr:sp macro="" textlink="">
        <xdr:nvSpPr>
          <xdr:cNvPr id="102" name="Schritt" descr="WISSENSWERTES&#10;STRG+E ist die Tastenkombination für die Blitzvorschau. &#10;">
            <a:extLst>
              <a:ext uri="{FF2B5EF4-FFF2-40B4-BE49-F238E27FC236}">
                <a16:creationId xmlns:a16="http://schemas.microsoft.com/office/drawing/2014/main" id="{00000000-0008-0000-0300-000066000000}"/>
              </a:ext>
            </a:extLst>
          </xdr:cNvPr>
          <xdr:cNvSpPr txBox="1"/>
        </xdr:nvSpPr>
        <xdr:spPr>
          <a:xfrm>
            <a:off x="8743781" y="2636226"/>
            <a:ext cx="16765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STRG+E ist die Tastenkombination für die Blitzvorschau. </a:t>
            </a:r>
            <a:endParaRPr lang="en-US" sz="1100">
              <a:effectLst/>
              <a:latin typeface="+mn-lt"/>
            </a:endParaRPr>
          </a:p>
        </xdr:txBody>
      </xdr:sp>
      <xdr:pic>
        <xdr:nvPicPr>
          <xdr:cNvPr id="103" name="Grafik 147" descr="Brille">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413150</xdr:colOff>
      <xdr:row>72</xdr:row>
      <xdr:rowOff>90237</xdr:rowOff>
    </xdr:to>
    <xdr:grpSp>
      <xdr:nvGrpSpPr>
        <xdr:cNvPr id="8" name="SO FUNKTIONIERT E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2215" y="11239500"/>
          <a:ext cx="10273430" cy="3142047"/>
          <a:chOff x="6276975" y="11658600"/>
          <a:chExt cx="9604463" cy="3138237"/>
        </a:xfrm>
      </xdr:grpSpPr>
      <xdr:sp macro="" textlink="">
        <xdr:nvSpPr>
          <xdr:cNvPr id="104" name="Schritt" descr="SO FUNKTIONIERT E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de"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SO FUNKTIONIERT ES:</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sp macro="" textlink="">
        <xdr:nvSpPr>
          <xdr:cNvPr id="105" name="Textfeld 100" descr="=LEFT(C56,FIND(&quot; &quot;,C56)-1)">
            <a:extLst>
              <a:ext uri="{FF2B5EF4-FFF2-40B4-BE49-F238E27FC236}">
                <a16:creationId xmlns:a16="http://schemas.microsoft.com/office/drawing/2014/main" id="{00000000-0008-0000-0300-000069000000}"/>
              </a:ext>
            </a:extLst>
          </xdr:cNvPr>
          <xdr:cNvSpPr txBox="1"/>
        </xdr:nvSpPr>
        <xdr:spPr>
          <a:xfrm>
            <a:off x="6324977" y="13221358"/>
            <a:ext cx="3871946"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de" sz="1600" b="1">
                <a:solidFill>
                  <a:srgbClr val="000000"/>
                </a:solidFill>
                <a:effectLst/>
                <a:latin typeface="Courier New" panose="02070309020205020404" pitchFamily="49" charset="0"/>
                <a:ea typeface="Times New Roman" panose="02020603050405020304" pitchFamily="18" charset="0"/>
              </a:rPr>
              <a:t>=LINKS(C56;SUCHEN(" ";C56)-1)</a:t>
            </a:r>
            <a:endParaRPr lang="en-US" sz="1600" b="1">
              <a:effectLst/>
              <a:latin typeface="Courier New" panose="02070309020205020404" pitchFamily="49" charset="0"/>
              <a:ea typeface="Times New Roman" panose="02020603050405020304" pitchFamily="18" charset="0"/>
            </a:endParaRPr>
          </a:p>
        </xdr:txBody>
      </xdr:sp>
      <xdr:sp macro="" textlink="">
        <xdr:nvSpPr>
          <xdr:cNvPr id="106" name="Geschweifte Klammer links 105" descr="Klammerlinie">
            <a:extLst>
              <a:ext uri="{FF2B5EF4-FFF2-40B4-BE49-F238E27FC236}">
                <a16:creationId xmlns:a16="http://schemas.microsoft.com/office/drawing/2014/main" id="{00000000-0008-0000-0300-00006A000000}"/>
              </a:ext>
            </a:extLst>
          </xdr:cNvPr>
          <xdr:cNvSpPr/>
        </xdr:nvSpPr>
        <xdr:spPr>
          <a:xfrm rot="5400000">
            <a:off x="6726717" y="12877337"/>
            <a:ext cx="225836" cy="5944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07" name="Textfeld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8" y="12049236"/>
            <a:ext cx="767473"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Zeichen</a:t>
            </a:r>
            <a:r>
              <a:rPr lang="de" sz="900" baseline="0">
                <a:effectLst/>
                <a:latin typeface="Calibri" panose="020F0502020204030204" pitchFamily="34" charset="0"/>
                <a:ea typeface="Calibri" panose="020F0502020204030204" pitchFamily="34" charset="0"/>
                <a:cs typeface="Times New Roman" panose="02020603050405020304" pitchFamily="18" charset="0"/>
              </a:rPr>
              <a:t> von der linken Seite…</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1" name="Geschweifte Klammer links 130" descr="Klammerlinie">
            <a:extLst>
              <a:ext uri="{FF2B5EF4-FFF2-40B4-BE49-F238E27FC236}">
                <a16:creationId xmlns:a16="http://schemas.microsoft.com/office/drawing/2014/main" id="{00000000-0008-0000-0300-000083000000}"/>
              </a:ext>
            </a:extLst>
          </xdr:cNvPr>
          <xdr:cNvSpPr/>
        </xdr:nvSpPr>
        <xdr:spPr>
          <a:xfrm rot="5400000">
            <a:off x="7309665" y="12966717"/>
            <a:ext cx="245051" cy="4155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2" name="Textfeld 2" descr="…dieser Zelle…">
            <a:extLst>
              <a:ext uri="{FF2B5EF4-FFF2-40B4-BE49-F238E27FC236}">
                <a16:creationId xmlns:a16="http://schemas.microsoft.com/office/drawing/2014/main" id="{00000000-0008-0000-0300-000084000000}"/>
              </a:ext>
            </a:extLst>
          </xdr:cNvPr>
          <xdr:cNvSpPr txBox="1">
            <a:spLocks noChangeArrowheads="1"/>
          </xdr:cNvSpPr>
        </xdr:nvSpPr>
        <xdr:spPr bwMode="auto">
          <a:xfrm>
            <a:off x="7170834" y="12048409"/>
            <a:ext cx="592742"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…dieser Zelle…</a:t>
            </a:r>
          </a:p>
        </xdr:txBody>
      </xdr:sp>
      <xdr:sp macro="" textlink="">
        <xdr:nvSpPr>
          <xdr:cNvPr id="133" name="Textfeld 2" descr="... und extrahieren Sie diese Anzahl Zeichen. Um die Anzahl der Zeichen anzugeben, verwenden Sie die Funktion SUCHEN...">
            <a:extLst>
              <a:ext uri="{FF2B5EF4-FFF2-40B4-BE49-F238E27FC236}">
                <a16:creationId xmlns:a16="http://schemas.microsoft.com/office/drawing/2014/main" id="{00000000-0008-0000-0300-000085000000}"/>
              </a:ext>
            </a:extLst>
          </xdr:cNvPr>
          <xdr:cNvSpPr txBox="1">
            <a:spLocks noChangeArrowheads="1"/>
          </xdr:cNvSpPr>
        </xdr:nvSpPr>
        <xdr:spPr bwMode="auto">
          <a:xfrm>
            <a:off x="7802945" y="12048406"/>
            <a:ext cx="1799297"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…extrahieren, und diese Anzahl</a:t>
            </a:r>
            <a:r>
              <a:rPr lang="de" sz="900" baseline="0">
                <a:effectLst/>
                <a:latin typeface="Calibri" panose="020F0502020204030204" pitchFamily="34" charset="0"/>
                <a:ea typeface="Calibri" panose="020F0502020204030204" pitchFamily="34" charset="0"/>
                <a:cs typeface="Times New Roman" panose="02020603050405020304" pitchFamily="18" charset="0"/>
              </a:rPr>
              <a:t> Zeichen extrahieren. Um die Anzahl der Zeichen anzugeben, verwenden Sie die Funktion SUCHEN…</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4" name="Geschweifte Klammer links 133" descr="Klammerlinie">
            <a:extLst>
              <a:ext uri="{FF2B5EF4-FFF2-40B4-BE49-F238E27FC236}">
                <a16:creationId xmlns:a16="http://schemas.microsoft.com/office/drawing/2014/main" id="{00000000-0008-0000-0300-000086000000}"/>
              </a:ext>
            </a:extLst>
          </xdr:cNvPr>
          <xdr:cNvSpPr/>
        </xdr:nvSpPr>
        <xdr:spPr>
          <a:xfrm rot="5400000">
            <a:off x="8473975" y="12329391"/>
            <a:ext cx="229093" cy="168643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5" name="Textfeld 2" descr="...und suchen Sie die Nummer der Zeichenposition...">
            <a:extLst>
              <a:ext uri="{FF2B5EF4-FFF2-40B4-BE49-F238E27FC236}">
                <a16:creationId xmlns:a16="http://schemas.microsoft.com/office/drawing/2014/main" id="{00000000-0008-0000-0300-000087000000}"/>
              </a:ext>
            </a:extLst>
          </xdr:cNvPr>
          <xdr:cNvSpPr txBox="1">
            <a:spLocks noChangeArrowheads="1"/>
          </xdr:cNvSpPr>
        </xdr:nvSpPr>
        <xdr:spPr bwMode="auto">
          <a:xfrm>
            <a:off x="7184592" y="13736322"/>
            <a:ext cx="1044411"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…und suchen</a:t>
            </a:r>
            <a:r>
              <a:rPr lang="de" sz="900" baseline="0">
                <a:effectLst/>
                <a:latin typeface="Calibri" panose="020F0502020204030204" pitchFamily="34" charset="0"/>
                <a:ea typeface="Calibri" panose="020F0502020204030204" pitchFamily="34" charset="0"/>
                <a:cs typeface="Times New Roman" panose="02020603050405020304" pitchFamily="18" charset="0"/>
              </a:rPr>
              <a:t> Sie die Nummer der Zeichenposition…</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6" name="Geschweifte Klammer links 135" descr="Klammerlinie">
            <a:extLst>
              <a:ext uri="{FF2B5EF4-FFF2-40B4-BE49-F238E27FC236}">
                <a16:creationId xmlns:a16="http://schemas.microsoft.com/office/drawing/2014/main" id="{00000000-0008-0000-0300-000088000000}"/>
              </a:ext>
            </a:extLst>
          </xdr:cNvPr>
          <xdr:cNvSpPr/>
        </xdr:nvSpPr>
        <xdr:spPr>
          <a:xfrm rot="16200000">
            <a:off x="7978688" y="13248842"/>
            <a:ext cx="229093" cy="723824"/>
          </a:xfrm>
          <a:prstGeom prst="leftBrace">
            <a:avLst>
              <a:gd name="adj1" fmla="val 8333"/>
              <a:gd name="adj2" fmla="val 1625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7" name="Textfeld 2" descr="...des ersten Leerzeichens...">
            <a:extLst>
              <a:ext uri="{FF2B5EF4-FFF2-40B4-BE49-F238E27FC236}">
                <a16:creationId xmlns:a16="http://schemas.microsoft.com/office/drawing/2014/main" id="{00000000-0008-0000-0300-000089000000}"/>
              </a:ext>
            </a:extLst>
          </xdr:cNvPr>
          <xdr:cNvSpPr txBox="1">
            <a:spLocks noChangeArrowheads="1"/>
          </xdr:cNvSpPr>
        </xdr:nvSpPr>
        <xdr:spPr bwMode="auto">
          <a:xfrm>
            <a:off x="8252983" y="13736322"/>
            <a:ext cx="865399"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...des ersten Leerzeichens...</a:t>
            </a: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8" name="Geschweifte Klammer links 137" descr="Klammerlinie">
            <a:extLst>
              <a:ext uri="{FF2B5EF4-FFF2-40B4-BE49-F238E27FC236}">
                <a16:creationId xmlns:a16="http://schemas.microsoft.com/office/drawing/2014/main" id="{00000000-0008-0000-0300-00008A000000}"/>
              </a:ext>
            </a:extLst>
          </xdr:cNvPr>
          <xdr:cNvSpPr/>
        </xdr:nvSpPr>
        <xdr:spPr>
          <a:xfrm rot="16200000">
            <a:off x="8632886" y="13405682"/>
            <a:ext cx="229093" cy="4101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Textfeld 2" descr="...in dieser Zelle.">
            <a:extLst>
              <a:ext uri="{FF2B5EF4-FFF2-40B4-BE49-F238E27FC236}">
                <a16:creationId xmlns:a16="http://schemas.microsoft.com/office/drawing/2014/main" id="{00000000-0008-0000-0300-00008B000000}"/>
              </a:ext>
            </a:extLst>
          </xdr:cNvPr>
          <xdr:cNvSpPr txBox="1">
            <a:spLocks noChangeArrowheads="1"/>
          </xdr:cNvSpPr>
        </xdr:nvSpPr>
        <xdr:spPr bwMode="auto">
          <a:xfrm>
            <a:off x="9143768" y="13736322"/>
            <a:ext cx="47690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a:t>
            </a:r>
            <a:r>
              <a:rPr lang="de" sz="900" baseline="0">
                <a:effectLst/>
                <a:latin typeface="Calibri" panose="020F0502020204030204" pitchFamily="34" charset="0"/>
                <a:ea typeface="Calibri" panose="020F0502020204030204" pitchFamily="34" charset="0"/>
                <a:cs typeface="Times New Roman" panose="02020603050405020304" pitchFamily="18" charset="0"/>
              </a:rPr>
              <a:t>in dieser Zelle.</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0" name="Geschweifte Klammer links 139" descr="Klammerlinie">
            <a:extLst>
              <a:ext uri="{FF2B5EF4-FFF2-40B4-BE49-F238E27FC236}">
                <a16:creationId xmlns:a16="http://schemas.microsoft.com/office/drawing/2014/main" id="{00000000-0008-0000-0300-00008C000000}"/>
              </a:ext>
            </a:extLst>
          </xdr:cNvPr>
          <xdr:cNvSpPr/>
        </xdr:nvSpPr>
        <xdr:spPr>
          <a:xfrm rot="16200000">
            <a:off x="9104243"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1" name="Textfeld 2" descr="...subtrahieren Sie anschließend 1, um das Leerzeichen selbst auszuschließen.">
            <a:extLst>
              <a:ext uri="{FF2B5EF4-FFF2-40B4-BE49-F238E27FC236}">
                <a16:creationId xmlns:a16="http://schemas.microsoft.com/office/drawing/2014/main" id="{00000000-0008-0000-0300-00008D000000}"/>
              </a:ext>
            </a:extLst>
          </xdr:cNvPr>
          <xdr:cNvSpPr txBox="1">
            <a:spLocks noChangeArrowheads="1"/>
          </xdr:cNvSpPr>
        </xdr:nvSpPr>
        <xdr:spPr bwMode="auto">
          <a:xfrm>
            <a:off x="9648200" y="13734332"/>
            <a:ext cx="981667"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...subtrahieren Sie anschließend 1, um das Leerzeichen selbst auszuschließen.</a:t>
            </a: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2" name="Geschweifte Klammer links 141" descr="Klammerlinie">
            <a:extLst>
              <a:ext uri="{FF2B5EF4-FFF2-40B4-BE49-F238E27FC236}">
                <a16:creationId xmlns:a16="http://schemas.microsoft.com/office/drawing/2014/main" id="{00000000-0008-0000-0300-00008E000000}"/>
              </a:ext>
            </a:extLst>
          </xdr:cNvPr>
          <xdr:cNvSpPr/>
        </xdr:nvSpPr>
        <xdr:spPr>
          <a:xfrm rot="16200000" flipV="1">
            <a:off x="9525811"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3" name="Freihandform: Form 142" descr="Klammerlini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Geschweifte Klammer links 143" descr="Klammerlinie">
            <a:extLst>
              <a:ext uri="{FF2B5EF4-FFF2-40B4-BE49-F238E27FC236}">
                <a16:creationId xmlns:a16="http://schemas.microsoft.com/office/drawing/2014/main" id="{00000000-0008-0000-0300-000090000000}"/>
              </a:ext>
            </a:extLst>
          </xdr:cNvPr>
          <xdr:cNvSpPr/>
        </xdr:nvSpPr>
        <xdr:spPr>
          <a:xfrm rot="5400000">
            <a:off x="10478212" y="12789448"/>
            <a:ext cx="216320" cy="78856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5" name="Textfeld 2">
            <a:extLst>
              <a:ext uri="{FF2B5EF4-FFF2-40B4-BE49-F238E27FC236}">
                <a16:creationId xmlns:a16="http://schemas.microsoft.com/office/drawing/2014/main" id="{00000000-0008-0000-0300-000091000000}"/>
              </a:ext>
            </a:extLst>
          </xdr:cNvPr>
          <xdr:cNvSpPr txBox="1">
            <a:spLocks noChangeArrowheads="1"/>
          </xdr:cNvSpPr>
        </xdr:nvSpPr>
        <xdr:spPr bwMode="auto">
          <a:xfrm>
            <a:off x="10200355"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Zeichen</a:t>
            </a:r>
            <a:r>
              <a:rPr lang="de" sz="900" baseline="0">
                <a:effectLst/>
                <a:latin typeface="Calibri" panose="020F0502020204030204" pitchFamily="34" charset="0"/>
                <a:ea typeface="Calibri" panose="020F0502020204030204" pitchFamily="34" charset="0"/>
                <a:cs typeface="Times New Roman" panose="02020603050405020304" pitchFamily="18" charset="0"/>
              </a:rPr>
              <a:t> von der rechten Seite...</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6" name="Geschweifte Klammer links 145" descr="Klammerlinie">
            <a:extLst>
              <a:ext uri="{FF2B5EF4-FFF2-40B4-BE49-F238E27FC236}">
                <a16:creationId xmlns:a16="http://schemas.microsoft.com/office/drawing/2014/main" id="{00000000-0008-0000-0300-000092000000}"/>
              </a:ext>
            </a:extLst>
          </xdr:cNvPr>
          <xdr:cNvSpPr/>
        </xdr:nvSpPr>
        <xdr:spPr>
          <a:xfrm rot="5400000">
            <a:off x="11195042"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7" name="Textfeld 2" descr="…dieser Zelle…">
            <a:extLst>
              <a:ext uri="{FF2B5EF4-FFF2-40B4-BE49-F238E27FC236}">
                <a16:creationId xmlns:a16="http://schemas.microsoft.com/office/drawing/2014/main" id="{00000000-0008-0000-0300-000093000000}"/>
              </a:ext>
            </a:extLst>
          </xdr:cNvPr>
          <xdr:cNvSpPr txBox="1">
            <a:spLocks noChangeArrowheads="1"/>
          </xdr:cNvSpPr>
        </xdr:nvSpPr>
        <xdr:spPr bwMode="auto">
          <a:xfrm>
            <a:off x="1105663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…dieser Zelle…</a:t>
            </a:r>
          </a:p>
        </xdr:txBody>
      </xdr:sp>
      <xdr:sp macro="" textlink="">
        <xdr:nvSpPr>
          <xdr:cNvPr id="148" name="Textfeld 2" descr="... und extrahieren Sie diese Anzahl Zeichen. Um die Anzahl der Zeichen anzugeben, verwenden Sie die Funktion LÄNGE...">
            <a:extLst>
              <a:ext uri="{FF2B5EF4-FFF2-40B4-BE49-F238E27FC236}">
                <a16:creationId xmlns:a16="http://schemas.microsoft.com/office/drawing/2014/main" id="{00000000-0008-0000-0300-000094000000}"/>
              </a:ext>
            </a:extLst>
          </xdr:cNvPr>
          <xdr:cNvSpPr txBox="1">
            <a:spLocks noChangeArrowheads="1"/>
          </xdr:cNvSpPr>
        </xdr:nvSpPr>
        <xdr:spPr bwMode="auto">
          <a:xfrm>
            <a:off x="11749656" y="12062328"/>
            <a:ext cx="2419422"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…extrahieren, und diese Anzahl</a:t>
            </a:r>
            <a:r>
              <a:rPr lang="de" sz="900" baseline="0">
                <a:effectLst/>
                <a:latin typeface="Calibri" panose="020F0502020204030204" pitchFamily="34" charset="0"/>
                <a:ea typeface="Calibri" panose="020F0502020204030204" pitchFamily="34" charset="0"/>
                <a:cs typeface="Times New Roman" panose="02020603050405020304" pitchFamily="18" charset="0"/>
              </a:rPr>
              <a:t> Zeichen extrahieren. Um die Anzahl der Zeichen anzugeben, verwenden Sie die Funktion LÄNGE...</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9" name="Geschweifte Klammer links 148" descr="Klammerlinie">
            <a:extLst>
              <a:ext uri="{FF2B5EF4-FFF2-40B4-BE49-F238E27FC236}">
                <a16:creationId xmlns:a16="http://schemas.microsoft.com/office/drawing/2014/main" id="{00000000-0008-0000-0300-000095000000}"/>
              </a:ext>
            </a:extLst>
          </xdr:cNvPr>
          <xdr:cNvSpPr/>
        </xdr:nvSpPr>
        <xdr:spPr>
          <a:xfrm rot="5400000">
            <a:off x="13225711" y="11489940"/>
            <a:ext cx="219905" cy="338398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0" name="Textfeld 100" descr="=RIGHT(C56,LEN(C56)-FIND(&quot; &quot;,C56))">
            <a:extLst>
              <a:ext uri="{FF2B5EF4-FFF2-40B4-BE49-F238E27FC236}">
                <a16:creationId xmlns:a16="http://schemas.microsoft.com/office/drawing/2014/main" id="{00000000-0008-0000-0300-000096000000}"/>
              </a:ext>
            </a:extLst>
          </xdr:cNvPr>
          <xdr:cNvSpPr txBox="1"/>
        </xdr:nvSpPr>
        <xdr:spPr>
          <a:xfrm>
            <a:off x="9985464"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de" sz="1600" b="1" spc="100">
                <a:solidFill>
                  <a:srgbClr val="000000"/>
                </a:solidFill>
                <a:effectLst/>
                <a:latin typeface="Courier New" panose="02070309020205020404" pitchFamily="49" charset="0"/>
                <a:ea typeface="Times New Roman" panose="02020603050405020304" pitchFamily="18" charset="0"/>
              </a:rPr>
              <a:t>=RECHTS(C56;LÄNGE(C56)-SUCHEN("</a:t>
            </a:r>
            <a:r>
              <a:rPr lang="de" sz="1600" b="1" spc="100" baseline="0">
                <a:solidFill>
                  <a:srgbClr val="000000"/>
                </a:solidFill>
                <a:effectLst/>
                <a:latin typeface="Courier New" panose="02070309020205020404" pitchFamily="49" charset="0"/>
                <a:ea typeface="Times New Roman" panose="02020603050405020304" pitchFamily="18" charset="0"/>
              </a:rPr>
              <a:t> </a:t>
            </a:r>
            <a:r>
              <a:rPr lang="de" sz="1600" b="1" spc="100">
                <a:solidFill>
                  <a:srgbClr val="000000"/>
                </a:solidFill>
                <a:effectLst/>
                <a:latin typeface="Courier New" panose="02070309020205020404" pitchFamily="49" charset="0"/>
                <a:ea typeface="Times New Roman" panose="02020603050405020304" pitchFamily="18" charset="0"/>
              </a:rPr>
              <a:t>";C56))</a:t>
            </a:r>
            <a:endParaRPr lang="en-US" sz="1600" b="1" spc="100">
              <a:effectLst/>
              <a:latin typeface="Courier New" panose="02070309020205020404" pitchFamily="49" charset="0"/>
              <a:ea typeface="Times New Roman" panose="02020603050405020304" pitchFamily="18" charset="0"/>
            </a:endParaRPr>
          </a:p>
        </xdr:txBody>
      </xdr:sp>
      <xdr:sp macro="" textlink="">
        <xdr:nvSpPr>
          <xdr:cNvPr id="151" name="Textfeld 2">
            <a:extLst>
              <a:ext uri="{FF2B5EF4-FFF2-40B4-BE49-F238E27FC236}">
                <a16:creationId xmlns:a16="http://schemas.microsoft.com/office/drawing/2014/main" id="{00000000-0008-0000-0300-000097000000}"/>
              </a:ext>
            </a:extLst>
          </xdr:cNvPr>
          <xdr:cNvSpPr txBox="1">
            <a:spLocks noChangeArrowheads="1"/>
          </xdr:cNvSpPr>
        </xdr:nvSpPr>
        <xdr:spPr bwMode="auto">
          <a:xfrm>
            <a:off x="10906462"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 und rufen Sie </a:t>
            </a:r>
            <a:r>
              <a:rPr lang="de" sz="900" baseline="0">
                <a:effectLst/>
                <a:latin typeface="Calibri" panose="020F0502020204030204" pitchFamily="34" charset="0"/>
                <a:ea typeface="Calibri" panose="020F0502020204030204" pitchFamily="34" charset="0"/>
                <a:cs typeface="Times New Roman" panose="02020603050405020304" pitchFamily="18" charset="0"/>
              </a:rPr>
              <a:t>die Anzahl der Zeichen (Zeichenanzahl)...</a:t>
            </a:r>
            <a:r>
              <a:rPr lang="de" sz="9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52" name="Geschweifte Klammer links 151" descr="Klammerlinie">
            <a:extLst>
              <a:ext uri="{FF2B5EF4-FFF2-40B4-BE49-F238E27FC236}">
                <a16:creationId xmlns:a16="http://schemas.microsoft.com/office/drawing/2014/main" id="{00000000-0008-0000-0300-000098000000}"/>
              </a:ext>
            </a:extLst>
          </xdr:cNvPr>
          <xdr:cNvSpPr/>
        </xdr:nvSpPr>
        <xdr:spPr>
          <a:xfrm rot="16200000">
            <a:off x="11858596" y="13313632"/>
            <a:ext cx="248484" cy="641472"/>
          </a:xfrm>
          <a:prstGeom prst="leftBrace">
            <a:avLst>
              <a:gd name="adj1" fmla="val 8333"/>
              <a:gd name="adj2" fmla="val 1839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3" name="Textfeld 2" descr="…dieser Zelle ab...">
            <a:extLst>
              <a:ext uri="{FF2B5EF4-FFF2-40B4-BE49-F238E27FC236}">
                <a16:creationId xmlns:a16="http://schemas.microsoft.com/office/drawing/2014/main" id="{00000000-0008-0000-0300-000099000000}"/>
              </a:ext>
            </a:extLst>
          </xdr:cNvPr>
          <xdr:cNvSpPr txBox="1">
            <a:spLocks noChangeArrowheads="1"/>
          </xdr:cNvSpPr>
        </xdr:nvSpPr>
        <xdr:spPr bwMode="auto">
          <a:xfrm>
            <a:off x="12124271" y="13759768"/>
            <a:ext cx="61153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…dieser Zelle...</a:t>
            </a:r>
          </a:p>
        </xdr:txBody>
      </xdr:sp>
      <xdr:sp macro="" textlink="">
        <xdr:nvSpPr>
          <xdr:cNvPr id="154" name="Geschweifte Klammer links 153" descr="Klammerlinie">
            <a:extLst>
              <a:ext uri="{FF2B5EF4-FFF2-40B4-BE49-F238E27FC236}">
                <a16:creationId xmlns:a16="http://schemas.microsoft.com/office/drawing/2014/main" id="{00000000-0008-0000-0300-00009A000000}"/>
              </a:ext>
            </a:extLst>
          </xdr:cNvPr>
          <xdr:cNvSpPr/>
        </xdr:nvSpPr>
        <xdr:spPr>
          <a:xfrm rot="16200000">
            <a:off x="12526973" y="13456114"/>
            <a:ext cx="248484" cy="356508"/>
          </a:xfrm>
          <a:prstGeom prst="leftBrace">
            <a:avLst>
              <a:gd name="adj1" fmla="val 8333"/>
              <a:gd name="adj2" fmla="val 112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5" name="Textfeld 2" descr="...und subtrahieren Sie diese Zahl:">
            <a:extLst>
              <a:ext uri="{FF2B5EF4-FFF2-40B4-BE49-F238E27FC236}">
                <a16:creationId xmlns:a16="http://schemas.microsoft.com/office/drawing/2014/main" id="{00000000-0008-0000-0300-00009B000000}"/>
              </a:ext>
            </a:extLst>
          </xdr:cNvPr>
          <xdr:cNvSpPr txBox="1">
            <a:spLocks noChangeArrowheads="1"/>
          </xdr:cNvSpPr>
        </xdr:nvSpPr>
        <xdr:spPr bwMode="auto">
          <a:xfrm>
            <a:off x="12754243" y="13759768"/>
            <a:ext cx="7695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...ab, und subtrahieren Sie diese Zahl:</a:t>
            </a:r>
          </a:p>
        </xdr:txBody>
      </xdr:sp>
      <xdr:sp macro="" textlink="">
        <xdr:nvSpPr>
          <xdr:cNvPr id="156" name="Geschweifte Klammer links 155" descr="Klammerlinie">
            <a:extLst>
              <a:ext uri="{FF2B5EF4-FFF2-40B4-BE49-F238E27FC236}">
                <a16:creationId xmlns:a16="http://schemas.microsoft.com/office/drawing/2014/main" id="{00000000-0008-0000-0300-00009C000000}"/>
              </a:ext>
            </a:extLst>
          </xdr:cNvPr>
          <xdr:cNvSpPr/>
        </xdr:nvSpPr>
        <xdr:spPr>
          <a:xfrm rot="16200000">
            <a:off x="12904329"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7" name="Textfeld 2" descr="Suchen Sie die Nummer der Zeichenposition...">
            <a:extLst>
              <a:ext uri="{FF2B5EF4-FFF2-40B4-BE49-F238E27FC236}">
                <a16:creationId xmlns:a16="http://schemas.microsoft.com/office/drawing/2014/main" id="{00000000-0008-0000-0300-00009D000000}"/>
              </a:ext>
            </a:extLst>
          </xdr:cNvPr>
          <xdr:cNvSpPr txBox="1">
            <a:spLocks noChangeArrowheads="1"/>
          </xdr:cNvSpPr>
        </xdr:nvSpPr>
        <xdr:spPr bwMode="auto">
          <a:xfrm>
            <a:off x="13542241" y="13759768"/>
            <a:ext cx="792608"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Suchen</a:t>
            </a:r>
            <a:r>
              <a:rPr lang="de" sz="900" baseline="0">
                <a:effectLst/>
                <a:latin typeface="Calibri" panose="020F0502020204030204" pitchFamily="34" charset="0"/>
                <a:ea typeface="Calibri" panose="020F0502020204030204" pitchFamily="34" charset="0"/>
                <a:cs typeface="Times New Roman" panose="02020603050405020304" pitchFamily="18" charset="0"/>
              </a:rPr>
              <a:t> Sie die Nummer der Zeichen</a:t>
            </a:r>
            <a:r>
              <a:rPr lang="en-US" altLang="zh-CN" sz="900" baseline="0">
                <a:effectLst/>
                <a:latin typeface="Calibri" panose="020F0502020204030204" pitchFamily="34" charset="0"/>
                <a:ea typeface="Calibri" panose="020F0502020204030204" pitchFamily="34" charset="0"/>
                <a:cs typeface="Times New Roman" panose="02020603050405020304" pitchFamily="18" charset="0"/>
              </a:rPr>
              <a:t>-</a:t>
            </a:r>
            <a:r>
              <a:rPr lang="de" sz="900" baseline="0">
                <a:effectLst/>
                <a:latin typeface="Calibri" panose="020F0502020204030204" pitchFamily="34" charset="0"/>
                <a:ea typeface="Calibri" panose="020F0502020204030204" pitchFamily="34" charset="0"/>
                <a:cs typeface="Times New Roman" panose="02020603050405020304" pitchFamily="18" charset="0"/>
              </a:rPr>
              <a:t>position...</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58" name="Geschweifte Klammer links 157" descr="Klammerlinie">
            <a:extLst>
              <a:ext uri="{FF2B5EF4-FFF2-40B4-BE49-F238E27FC236}">
                <a16:creationId xmlns:a16="http://schemas.microsoft.com/office/drawing/2014/main" id="{00000000-0008-0000-0300-00009E000000}"/>
              </a:ext>
            </a:extLst>
          </xdr:cNvPr>
          <xdr:cNvSpPr/>
        </xdr:nvSpPr>
        <xdr:spPr>
          <a:xfrm rot="16200000">
            <a:off x="13368962" y="13250240"/>
            <a:ext cx="248484" cy="76825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9" name="Textfeld 2" descr="...des ersten Leerzeichens...">
            <a:extLst>
              <a:ext uri="{FF2B5EF4-FFF2-40B4-BE49-F238E27FC236}">
                <a16:creationId xmlns:a16="http://schemas.microsoft.com/office/drawing/2014/main" id="{00000000-0008-0000-0300-00009F000000}"/>
              </a:ext>
            </a:extLst>
          </xdr:cNvPr>
          <xdr:cNvSpPr txBox="1">
            <a:spLocks noChangeArrowheads="1"/>
          </xdr:cNvSpPr>
        </xdr:nvSpPr>
        <xdr:spPr bwMode="auto">
          <a:xfrm>
            <a:off x="14357046" y="13759768"/>
            <a:ext cx="567651"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...des ersten Leerze</a:t>
            </a:r>
            <a:r>
              <a:rPr lang="en-US" altLang="zh-CN" sz="900">
                <a:effectLst/>
                <a:latin typeface="Calibri" panose="020F0502020204030204" pitchFamily="34" charset="0"/>
                <a:ea typeface="Calibri" panose="020F0502020204030204" pitchFamily="34" charset="0"/>
                <a:cs typeface="Times New Roman" panose="02020603050405020304" pitchFamily="18" charset="0"/>
              </a:rPr>
              <a:t>-</a:t>
            </a:r>
            <a:r>
              <a:rPr lang="de" sz="900">
                <a:effectLst/>
                <a:latin typeface="Calibri" panose="020F0502020204030204" pitchFamily="34" charset="0"/>
                <a:ea typeface="Calibri" panose="020F0502020204030204" pitchFamily="34" charset="0"/>
                <a:cs typeface="Times New Roman" panose="02020603050405020304" pitchFamily="18" charset="0"/>
              </a:rPr>
              <a:t>ichens...</a:t>
            </a:r>
          </a:p>
        </xdr:txBody>
      </xdr:sp>
      <xdr:sp macro="" textlink="">
        <xdr:nvSpPr>
          <xdr:cNvPr id="160" name="Geschweifte Klammer links 159" descr="Klammerlinie">
            <a:extLst>
              <a:ext uri="{FF2B5EF4-FFF2-40B4-BE49-F238E27FC236}">
                <a16:creationId xmlns:a16="http://schemas.microsoft.com/office/drawing/2014/main" id="{00000000-0008-0000-0300-0000A0000000}"/>
              </a:ext>
            </a:extLst>
          </xdr:cNvPr>
          <xdr:cNvSpPr/>
        </xdr:nvSpPr>
        <xdr:spPr>
          <a:xfrm rot="16200000">
            <a:off x="14116419" y="13383599"/>
            <a:ext cx="257175" cy="483822"/>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1" name="Textfeld 2" descr="...in dieser Zelle.">
            <a:extLst>
              <a:ext uri="{FF2B5EF4-FFF2-40B4-BE49-F238E27FC236}">
                <a16:creationId xmlns:a16="http://schemas.microsoft.com/office/drawing/2014/main" id="{00000000-0008-0000-0300-0000A1000000}"/>
              </a:ext>
            </a:extLst>
          </xdr:cNvPr>
          <xdr:cNvSpPr txBox="1">
            <a:spLocks noChangeArrowheads="1"/>
          </xdr:cNvSpPr>
        </xdr:nvSpPr>
        <xdr:spPr bwMode="auto">
          <a:xfrm>
            <a:off x="14944957" y="13759768"/>
            <a:ext cx="482032"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900">
                <a:effectLst/>
                <a:latin typeface="Calibri" panose="020F0502020204030204" pitchFamily="34" charset="0"/>
                <a:ea typeface="Calibri" panose="020F0502020204030204" pitchFamily="34" charset="0"/>
                <a:cs typeface="Times New Roman" panose="02020603050405020304" pitchFamily="18" charset="0"/>
              </a:rPr>
              <a:t>...in</a:t>
            </a:r>
            <a:r>
              <a:rPr lang="de" sz="900" baseline="0">
                <a:effectLst/>
                <a:latin typeface="Calibri" panose="020F0502020204030204" pitchFamily="34" charset="0"/>
                <a:ea typeface="Calibri" panose="020F0502020204030204" pitchFamily="34" charset="0"/>
                <a:cs typeface="Times New Roman" panose="02020603050405020304" pitchFamily="18" charset="0"/>
              </a:rPr>
              <a:t> dieser Zelle.</a:t>
            </a:r>
            <a:endParaRPr lang="en-US" sz="9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62" name="Geschweifte Klammer links 161" descr="Klammerlinie">
            <a:extLst>
              <a:ext uri="{FF2B5EF4-FFF2-40B4-BE49-F238E27FC236}">
                <a16:creationId xmlns:a16="http://schemas.microsoft.com/office/drawing/2014/main" id="{00000000-0008-0000-0300-0000A2000000}"/>
              </a:ext>
            </a:extLst>
          </xdr:cNvPr>
          <xdr:cNvSpPr/>
        </xdr:nvSpPr>
        <xdr:spPr>
          <a:xfrm rot="16200000">
            <a:off x="14687911" y="13402319"/>
            <a:ext cx="248484" cy="48315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3" name="Schritt" descr="SO FUNKTIONIERT ES:">
            <a:extLst>
              <a:ext uri="{FF2B5EF4-FFF2-40B4-BE49-F238E27FC236}">
                <a16:creationId xmlns:a16="http://schemas.microsoft.com/office/drawing/2014/main" id="{00000000-0008-0000-0300-0000A3000000}"/>
              </a:ext>
            </a:extLst>
          </xdr:cNvPr>
          <xdr:cNvSpPr txBox="1"/>
        </xdr:nvSpPr>
        <xdr:spPr>
          <a:xfrm>
            <a:off x="10101539"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de"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SO FUNKTIONIERT ES:</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cxnSp macro="">
        <xdr:nvCxnSpPr>
          <xdr:cNvPr id="6" name="Gerader Verbinder 5" descr="Dekorative Linie">
            <a:extLst>
              <a:ext uri="{FF2B5EF4-FFF2-40B4-BE49-F238E27FC236}">
                <a16:creationId xmlns:a16="http://schemas.microsoft.com/office/drawing/2014/main" id="{00000000-0008-0000-0300-000006000000}"/>
              </a:ext>
            </a:extLst>
          </xdr:cNvPr>
          <xdr:cNvCxnSpPr/>
        </xdr:nvCxnSpPr>
        <xdr:spPr>
          <a:xfrm>
            <a:off x="10460259"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52</xdr:row>
      <xdr:rowOff>173182</xdr:rowOff>
    </xdr:from>
    <xdr:to>
      <xdr:col>1</xdr:col>
      <xdr:colOff>5245678</xdr:colOff>
      <xdr:row>86</xdr:row>
      <xdr:rowOff>171449</xdr:rowOff>
    </xdr:to>
    <xdr:grpSp>
      <xdr:nvGrpSpPr>
        <xdr:cNvPr id="4" name="Aufteilen einer Spalte mit Formeln"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402129" y="10646872"/>
          <a:ext cx="5706514" cy="6482887"/>
          <a:chOff x="398319" y="10117281"/>
          <a:chExt cx="5695084" cy="6575254"/>
        </a:xfrm>
      </xdr:grpSpPr>
      <xdr:sp macro="" textlink="">
        <xdr:nvSpPr>
          <xdr:cNvPr id="166" name="Rechteck 165" descr="Hintergrund">
            <a:extLst>
              <a:ext uri="{FF2B5EF4-FFF2-40B4-BE49-F238E27FC236}">
                <a16:creationId xmlns:a16="http://schemas.microsoft.com/office/drawing/2014/main" id="{00000000-0008-0000-0300-0000A6000000}"/>
              </a:ext>
            </a:extLst>
          </xdr:cNvPr>
          <xdr:cNvSpPr/>
        </xdr:nvSpPr>
        <xdr:spPr>
          <a:xfrm>
            <a:off x="398319" y="10117281"/>
            <a:ext cx="5695084" cy="65752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7" name="Schritt" descr="Aufteilen einer Spalte mit Formeln">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Aufteilen einer Spalte mit Formeln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Gerader Verbinder 167" descr="Dekorative Lini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Gerader Verbinder 168" descr="Dekorative Linie">
            <a:extLst>
              <a:ext uri="{FF2B5EF4-FFF2-40B4-BE49-F238E27FC236}">
                <a16:creationId xmlns:a16="http://schemas.microsoft.com/office/drawing/2014/main" id="{00000000-0008-0000-0300-0000A9000000}"/>
              </a:ext>
            </a:extLst>
          </xdr:cNvPr>
          <xdr:cNvCxnSpPr>
            <a:cxnSpLocks/>
          </xdr:cNvCxnSpPr>
        </xdr:nvCxnSpPr>
        <xdr:spPr>
          <a:xfrm>
            <a:off x="633207" y="1636868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chritt" descr="Es kann sinnvoll sein, zum Aufteilen von Daten eine Formel zu erstellen. Auf diese Weise werden bei einer Aktualisierung der ursprünglichen Daten die aufgeteilten Daten ebenfalls aktualisiert. Dies ist komplexer. Es ist aber möglich, wenn Sie eine Handvoll Funktionen verwenden: LINKS, RECHTS, SUCHEN und LÄNGE. Weitere Informationen zu den einzelnen Funktionen finden Sie über die Links unten auf diesem Blatt. Aber falls Sie neugierig sind, sehen Sie hier, wie wir Zelle C56 aufteilen. Achten Sie darauf, sich beim Durcharbeiten dieser Schritte am Diagramm auf der rechten Seite zu orientieren:">
            <a:extLst>
              <a:ext uri="{FF2B5EF4-FFF2-40B4-BE49-F238E27FC236}">
                <a16:creationId xmlns:a16="http://schemas.microsoft.com/office/drawing/2014/main" id="{00000000-0008-0000-0300-0000AA000000}"/>
              </a:ext>
            </a:extLst>
          </xdr:cNvPr>
          <xdr:cNvSpPr txBox="1"/>
        </xdr:nvSpPr>
        <xdr:spPr>
          <a:xfrm>
            <a:off x="626884" y="10826527"/>
            <a:ext cx="5211941" cy="1639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Es kann sinnvoll sein, zum Aufteilen von Daten eine Formel zu erstellen. Auf diese Weise werden bei einer Aktualisierung der ursprünglichen Daten die aufgeteilten Daten ebenfalls aktualisiert. Dies ist komplexer. Es ist aber möglich, wenn Sie eine Handvoll Funktionen verwenden: LINKS, RECHTS, SUCHEN und LÄNGE. Weitere Informationen zu den einzelnen Funktionen finden Sie über die Links unten auf diesem Blatt. Aber falls Sie neugierig sind, sehen Sie hier, wie wir Zelle C56 aufteilen. Achten Sie darauf, sich beim Durcharbeiten dieser Schritte am Diagramm auf der rechten Seite zu orientieren:</a:t>
            </a:r>
          </a:p>
        </xdr:txBody>
      </xdr:sp>
      <xdr:sp macro="" textlink="">
        <xdr:nvSpPr>
          <xdr:cNvPr id="171" name="Schritt"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496347"/>
            <a:ext cx="4808785" cy="1072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Doppelklicken Sie auf die gelbe Zelle mit </a:t>
            </a:r>
            <a:r>
              <a:rPr lang="de" sz="1100" b="1">
                <a:solidFill>
                  <a:schemeClr val="tx1">
                    <a:lumMod val="75000"/>
                    <a:lumOff val="25000"/>
                  </a:schemeClr>
                </a:solidFill>
                <a:latin typeface="Segoe UI" panose="020B0502040204020203" pitchFamily="34" charset="0"/>
                <a:cs typeface="Segoe UI" panose="020B0502040204020203" pitchFamily="34" charset="0"/>
              </a:rPr>
              <a:t>Yvonne</a:t>
            </a:r>
            <a:r>
              <a:rPr lang="de" sz="1100">
                <a:solidFill>
                  <a:schemeClr val="tx1">
                    <a:lumMod val="75000"/>
                    <a:lumOff val="25000"/>
                  </a:schemeClr>
                </a:solidFill>
                <a:latin typeface="Segoe UI" panose="020B0502040204020203" pitchFamily="34" charset="0"/>
                <a:cs typeface="Segoe UI" panose="020B0502040204020203" pitchFamily="34" charset="0"/>
              </a:rPr>
              <a:t>. Wir haben die Funktion LINKS verwendet, um Zeichen von der linken Seite von Zelle C56 zu extrahieren. Und um die Anzahl der zu extrahierenden Zeichen anzugeben, haben wir die Funktion SUCHEN verwendet. Lesen Sie das Diagramm</a:t>
            </a:r>
            <a:r>
              <a:rPr lang="de" sz="1100" baseline="0">
                <a:solidFill>
                  <a:schemeClr val="tx1">
                    <a:lumMod val="75000"/>
                    <a:lumOff val="25000"/>
                  </a:schemeClr>
                </a:solidFill>
                <a:latin typeface="Segoe UI" panose="020B0502040204020203" pitchFamily="34" charset="0"/>
                <a:cs typeface="Segoe UI" panose="020B0502040204020203" pitchFamily="34" charset="0"/>
              </a:rPr>
              <a:t> </a:t>
            </a:r>
            <a:r>
              <a:rPr lang="de" sz="1100" b="1" baseline="0">
                <a:solidFill>
                  <a:schemeClr val="tx1">
                    <a:lumMod val="75000"/>
                    <a:lumOff val="25000"/>
                  </a:schemeClr>
                </a:solidFill>
                <a:latin typeface="Segoe UI" panose="020B0502040204020203" pitchFamily="34" charset="0"/>
                <a:cs typeface="Segoe UI" panose="020B0502040204020203" pitchFamily="34" charset="0"/>
              </a:rPr>
              <a:t>So funktioniert es</a:t>
            </a:r>
            <a:r>
              <a:rPr lang="de" sz="1100" baseline="0">
                <a:solidFill>
                  <a:schemeClr val="tx1">
                    <a:lumMod val="75000"/>
                    <a:lumOff val="25000"/>
                  </a:schemeClr>
                </a:solidFill>
                <a:latin typeface="Segoe UI" panose="020B0502040204020203" pitchFamily="34" charset="0"/>
                <a:cs typeface="Segoe UI" panose="020B0502040204020203" pitchFamily="34" charset="0"/>
              </a:rPr>
              <a:t>, und drücken Sie dann ESC, wenn Sie fertig sind. </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72" name="Ellipse 171" descr="1">
            <a:extLst>
              <a:ext uri="{FF2B5EF4-FFF2-40B4-BE49-F238E27FC236}">
                <a16:creationId xmlns:a16="http://schemas.microsoft.com/office/drawing/2014/main" id="{00000000-0008-0000-0300-0000AC000000}"/>
              </a:ext>
            </a:extLst>
          </xdr:cNvPr>
          <xdr:cNvSpPr/>
        </xdr:nvSpPr>
        <xdr:spPr>
          <a:xfrm>
            <a:off x="630033" y="12502210"/>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73" name="Schritt" descr="Anschließend haben wir eine [Hilfsspalte] erstellt. Dies haben wir nur getan, um bei der Extraktion des sonstigen Texts in der Zelle zu &quot;helfen&quot;. Sie wird nur vorübergehend genutzt und kann später auch ausgeblendet werden.">
            <a:extLst>
              <a:ext uri="{FF2B5EF4-FFF2-40B4-BE49-F238E27FC236}">
                <a16:creationId xmlns:a16="http://schemas.microsoft.com/office/drawing/2014/main" id="{00000000-0008-0000-0300-0000AD000000}"/>
              </a:ext>
            </a:extLst>
          </xdr:cNvPr>
          <xdr:cNvSpPr txBox="1"/>
        </xdr:nvSpPr>
        <xdr:spPr>
          <a:xfrm>
            <a:off x="1037004" y="13549181"/>
            <a:ext cx="4808786" cy="87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Anschließend haben wir eine </a:t>
            </a:r>
            <a:r>
              <a:rPr lang="de" sz="1100" b="1">
                <a:solidFill>
                  <a:schemeClr val="tx1">
                    <a:lumMod val="75000"/>
                    <a:lumOff val="25000"/>
                  </a:schemeClr>
                </a:solidFill>
                <a:latin typeface="Segoe UI" panose="020B0502040204020203" pitchFamily="34" charset="0"/>
                <a:cs typeface="Segoe UI" panose="020B0502040204020203" pitchFamily="34" charset="0"/>
              </a:rPr>
              <a:t>[Hilfsspalte]</a:t>
            </a:r>
            <a:r>
              <a:rPr lang="de" sz="1100">
                <a:solidFill>
                  <a:schemeClr val="tx1">
                    <a:lumMod val="75000"/>
                    <a:lumOff val="25000"/>
                  </a:schemeClr>
                </a:solidFill>
                <a:latin typeface="Segoe UI" panose="020B0502040204020203" pitchFamily="34" charset="0"/>
                <a:cs typeface="Segoe UI" panose="020B0502040204020203" pitchFamily="34" charset="0"/>
              </a:rPr>
              <a:t> erstellt. Dies haben wir nur getan, um bei der Extraktion des sonstigen Texts in der Zelle zu "helfen". Sie wird nur vorübergehend genutzt und ist etwas, das später auch ausgeblendet werden kann. </a:t>
            </a:r>
          </a:p>
        </xdr:txBody>
      </xdr:sp>
      <xdr:sp macro="" textlink="">
        <xdr:nvSpPr>
          <xdr:cNvPr id="174" name="Ellipse 173" descr="2">
            <a:extLst>
              <a:ext uri="{FF2B5EF4-FFF2-40B4-BE49-F238E27FC236}">
                <a16:creationId xmlns:a16="http://schemas.microsoft.com/office/drawing/2014/main" id="{00000000-0008-0000-0300-0000AE000000}"/>
              </a:ext>
            </a:extLst>
          </xdr:cNvPr>
          <xdr:cNvSpPr/>
        </xdr:nvSpPr>
        <xdr:spPr>
          <a:xfrm>
            <a:off x="630033" y="1353569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75" name="Schritt" descr="Doppelklicken Sie auf &quot;Faber&quot;. Dies ist die gleiche Formel wie in Schritt 3, sie extrahiert jedoch Zeichen aus F56 statt aus Zelle C56.">
            <a:extLst>
              <a:ext uri="{FF2B5EF4-FFF2-40B4-BE49-F238E27FC236}">
                <a16:creationId xmlns:a16="http://schemas.microsoft.com/office/drawing/2014/main" id="{00000000-0008-0000-0300-0000AF000000}"/>
              </a:ext>
            </a:extLst>
          </xdr:cNvPr>
          <xdr:cNvSpPr txBox="1"/>
        </xdr:nvSpPr>
        <xdr:spPr>
          <a:xfrm>
            <a:off x="1037004" y="15688457"/>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Doppelklicken Sie auf </a:t>
            </a:r>
            <a:r>
              <a:rPr lang="de" sz="1100" b="1">
                <a:solidFill>
                  <a:schemeClr val="tx1">
                    <a:lumMod val="75000"/>
                    <a:lumOff val="25000"/>
                  </a:schemeClr>
                </a:solidFill>
                <a:latin typeface="Segoe UI" panose="020B0502040204020203" pitchFamily="34" charset="0"/>
                <a:cs typeface="Segoe UI" panose="020B0502040204020203" pitchFamily="34" charset="0"/>
              </a:rPr>
              <a:t>Faber</a:t>
            </a:r>
            <a:r>
              <a:rPr lang="de" sz="1100">
                <a:solidFill>
                  <a:schemeClr val="tx1">
                    <a:lumMod val="75000"/>
                    <a:lumOff val="25000"/>
                  </a:schemeClr>
                </a:solidFill>
                <a:latin typeface="Segoe UI" panose="020B0502040204020203" pitchFamily="34" charset="0"/>
                <a:cs typeface="Segoe UI" panose="020B0502040204020203" pitchFamily="34" charset="0"/>
              </a:rPr>
              <a:t>. Dies ist die gleiche Formel wie in Schritt 3, sie extrahiert jedoch Zeichen aus F56 statt aus Zelle C56. </a:t>
            </a:r>
          </a:p>
        </xdr:txBody>
      </xdr:sp>
      <xdr:sp macro="" textlink="">
        <xdr:nvSpPr>
          <xdr:cNvPr id="176" name="Ellipse 175" descr="5">
            <a:extLst>
              <a:ext uri="{FF2B5EF4-FFF2-40B4-BE49-F238E27FC236}">
                <a16:creationId xmlns:a16="http://schemas.microsoft.com/office/drawing/2014/main" id="{00000000-0008-0000-0300-0000B0000000}"/>
              </a:ext>
            </a:extLst>
          </xdr:cNvPr>
          <xdr:cNvSpPr/>
        </xdr:nvSpPr>
        <xdr:spPr>
          <a:xfrm>
            <a:off x="630033" y="1566530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sp macro="" textlink="">
        <xdr:nvSpPr>
          <xdr:cNvPr id="177" name="Schritt" descr="Doppelklicken Sie in der [Hilfsspalte] auf &quot;Giselle Faber&quot;. Sie sehen, dass wir die Funktionen RECHTS, LÄNGE und SUCHEN verwendet haben, um die Zeichen ab dem ersten Leerzeichen bis zum Ende der Zelle zu extrahieren.">
            <a:extLst>
              <a:ext uri="{FF2B5EF4-FFF2-40B4-BE49-F238E27FC236}">
                <a16:creationId xmlns:a16="http://schemas.microsoft.com/office/drawing/2014/main" id="{00000000-0008-0000-0300-0000B1000000}"/>
              </a:ext>
            </a:extLst>
          </xdr:cNvPr>
          <xdr:cNvSpPr txBox="1"/>
        </xdr:nvSpPr>
        <xdr:spPr>
          <a:xfrm>
            <a:off x="1037004" y="14379840"/>
            <a:ext cx="4808786" cy="707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Doppelklicken Sie in der [Hilfsspalte] auf </a:t>
            </a:r>
            <a:r>
              <a:rPr lang="de" sz="1100" b="1">
                <a:solidFill>
                  <a:schemeClr val="tx1">
                    <a:lumMod val="75000"/>
                    <a:lumOff val="25000"/>
                  </a:schemeClr>
                </a:solidFill>
                <a:latin typeface="Segoe UI" panose="020B0502040204020203" pitchFamily="34" charset="0"/>
                <a:cs typeface="Segoe UI" panose="020B0502040204020203" pitchFamily="34" charset="0"/>
              </a:rPr>
              <a:t>Giselle Faber</a:t>
            </a:r>
            <a:r>
              <a:rPr lang="de" sz="1100" b="0">
                <a:solidFill>
                  <a:schemeClr val="tx1">
                    <a:lumMod val="75000"/>
                    <a:lumOff val="25000"/>
                  </a:schemeClr>
                </a:solidFill>
                <a:latin typeface="Segoe UI" panose="020B0502040204020203" pitchFamily="34" charset="0"/>
                <a:cs typeface="Segoe UI" panose="020B0502040204020203" pitchFamily="34" charset="0"/>
              </a:rPr>
              <a:t>.</a:t>
            </a:r>
            <a:r>
              <a:rPr lang="de" sz="1100">
                <a:solidFill>
                  <a:schemeClr val="tx1">
                    <a:lumMod val="75000"/>
                    <a:lumOff val="25000"/>
                  </a:schemeClr>
                </a:solidFill>
                <a:latin typeface="Segoe UI" panose="020B0502040204020203" pitchFamily="34" charset="0"/>
                <a:cs typeface="Segoe UI" panose="020B0502040204020203" pitchFamily="34" charset="0"/>
              </a:rPr>
              <a:t> Sie sehen, dass wir die Funktionen RECHTS, LÄNGE und SUCHEN verwendet haben, um die Zeichen ab dem ersten Leerzeichen bis zum Ende der Zelle zu extrahieren. </a:t>
            </a:r>
          </a:p>
        </xdr:txBody>
      </xdr:sp>
      <xdr:sp macro="" textlink="">
        <xdr:nvSpPr>
          <xdr:cNvPr id="178" name="Ellipse 177" descr="3">
            <a:extLst>
              <a:ext uri="{FF2B5EF4-FFF2-40B4-BE49-F238E27FC236}">
                <a16:creationId xmlns:a16="http://schemas.microsoft.com/office/drawing/2014/main" id="{00000000-0008-0000-0300-0000B2000000}"/>
              </a:ext>
            </a:extLst>
          </xdr:cNvPr>
          <xdr:cNvSpPr/>
        </xdr:nvSpPr>
        <xdr:spPr>
          <a:xfrm>
            <a:off x="630033" y="1439537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79" name="Schritt" descr="Doppelklicken Sie auf &quot;Giselle&quot;. Hier haben wir fast die gleiche Formel wie in Schritt 1 verwendet, anstatt jedoch Zeichen aus C56 zu extrahieren, extrahiert sie sie aus F56.">
            <a:extLst>
              <a:ext uri="{FF2B5EF4-FFF2-40B4-BE49-F238E27FC236}">
                <a16:creationId xmlns:a16="http://schemas.microsoft.com/office/drawing/2014/main" id="{00000000-0008-0000-0300-0000B3000000}"/>
              </a:ext>
            </a:extLst>
          </xdr:cNvPr>
          <xdr:cNvSpPr txBox="1"/>
        </xdr:nvSpPr>
        <xdr:spPr>
          <a:xfrm>
            <a:off x="1037004" y="15041546"/>
            <a:ext cx="4808786" cy="63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Doppelklicken Sie auf </a:t>
            </a:r>
            <a:r>
              <a:rPr lang="de" sz="1100" b="1">
                <a:solidFill>
                  <a:schemeClr val="tx1">
                    <a:lumMod val="75000"/>
                    <a:lumOff val="25000"/>
                  </a:schemeClr>
                </a:solidFill>
                <a:latin typeface="Segoe UI" panose="020B0502040204020203" pitchFamily="34" charset="0"/>
                <a:cs typeface="Segoe UI" panose="020B0502040204020203" pitchFamily="34" charset="0"/>
              </a:rPr>
              <a:t>Giselle</a:t>
            </a:r>
            <a:r>
              <a:rPr lang="de" sz="1100">
                <a:solidFill>
                  <a:schemeClr val="tx1">
                    <a:lumMod val="75000"/>
                    <a:lumOff val="25000"/>
                  </a:schemeClr>
                </a:solidFill>
                <a:latin typeface="Segoe UI" panose="020B0502040204020203" pitchFamily="34" charset="0"/>
                <a:cs typeface="Segoe UI" panose="020B0502040204020203" pitchFamily="34" charset="0"/>
              </a:rPr>
              <a:t>. Hier haben wir fast die gleiche Formel wie in Schritt 1 verwendet, anstatt jedoch Zeichen aus C56 zu extrahieren extrahiert sie sie aus F56. </a:t>
            </a:r>
          </a:p>
        </xdr:txBody>
      </xdr:sp>
      <xdr:sp macro="" textlink="">
        <xdr:nvSpPr>
          <xdr:cNvPr id="180" name="Ellipse 179" descr="4">
            <a:extLst>
              <a:ext uri="{FF2B5EF4-FFF2-40B4-BE49-F238E27FC236}">
                <a16:creationId xmlns:a16="http://schemas.microsoft.com/office/drawing/2014/main" id="{00000000-0008-0000-0300-0000B4000000}"/>
              </a:ext>
            </a:extLst>
          </xdr:cNvPr>
          <xdr:cNvSpPr/>
        </xdr:nvSpPr>
        <xdr:spPr>
          <a:xfrm>
            <a:off x="630033" y="15037732"/>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390525</xdr:colOff>
      <xdr:row>88</xdr:row>
      <xdr:rowOff>9525</xdr:rowOff>
    </xdr:from>
    <xdr:to>
      <xdr:col>1</xdr:col>
      <xdr:colOff>5238750</xdr:colOff>
      <xdr:row>113</xdr:row>
      <xdr:rowOff>0</xdr:rowOff>
    </xdr:to>
    <xdr:grpSp>
      <xdr:nvGrpSpPr>
        <xdr:cNvPr id="5" name="Mehr im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392430" y="17346930"/>
          <a:ext cx="5709285" cy="4751070"/>
          <a:chOff x="400050" y="15944850"/>
          <a:chExt cx="5695950" cy="4619625"/>
        </a:xfrm>
      </xdr:grpSpPr>
      <xdr:sp macro="" textlink="">
        <xdr:nvSpPr>
          <xdr:cNvPr id="198" name="Rechteck 197" descr="Hintergr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9" name="Schritt" descr="Weitere Informationen im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Gerader Verbinder 199" descr="Dekorative Lini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Schaltfläche &quot;Weiter&quot;" descr="Zurück zum Anfang, mit Link zur Zelle A1">
            <a:hlinkClick xmlns:r="http://schemas.openxmlformats.org/officeDocument/2006/relationships" r:id="rId3" tooltip="Auswählen, um zur Zelle A1 auf diesem Arbeitsblatt zu gelangen"/>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202" name="Gerader Verbinder 201" descr="Dekorative Lini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300-0000CB000000}"/>
              </a:ext>
            </a:extLst>
          </xdr:cNvPr>
          <xdr:cNvSpPr/>
        </xdr:nvSpPr>
        <xdr:spPr>
          <a:xfrm>
            <a:off x="4371975" y="19977858"/>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204" name="Schritt" descr="Aufteilen von Text in verschiedene Spalten, mit Link ins Web">
            <a:hlinkClick xmlns:r="http://schemas.openxmlformats.org/officeDocument/2006/relationships" r:id="rId5" tooltip="Auswählen, um mehr über das Aufteilen von Text aus dem Web in verschiedene Spalten zu erfahren"/>
            <a:extLst>
              <a:ext uri="{FF2B5EF4-FFF2-40B4-BE49-F238E27FC236}">
                <a16:creationId xmlns:a16="http://schemas.microsoft.com/office/drawing/2014/main" id="{00000000-0008-0000-0300-0000CC000000}"/>
              </a:ext>
            </a:extLst>
          </xdr:cNvPr>
          <xdr:cNvSpPr txBox="1"/>
        </xdr:nvSpPr>
        <xdr:spPr>
          <a:xfrm>
            <a:off x="1038833" y="16739699"/>
            <a:ext cx="394274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Aufteilen von Text in verschiedene Spalten</a:t>
            </a:r>
          </a:p>
        </xdr:txBody>
      </xdr:sp>
      <xdr:pic>
        <xdr:nvPicPr>
          <xdr:cNvPr id="205"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chritt" descr="Alles über Abrufen und Transformieren, mit Link ins Web">
            <a:hlinkClick xmlns:r="http://schemas.openxmlformats.org/officeDocument/2006/relationships" r:id="rId8" tooltip="Auswählen, um Informationen zu Abrufen und transformieren aus dem Web abzurufen"/>
            <a:extLst>
              <a:ext uri="{FF2B5EF4-FFF2-40B4-BE49-F238E27FC236}">
                <a16:creationId xmlns:a16="http://schemas.microsoft.com/office/drawing/2014/main" id="{00000000-0008-0000-0300-0000CE000000}"/>
              </a:ext>
            </a:extLst>
          </xdr:cNvPr>
          <xdr:cNvSpPr txBox="1"/>
        </xdr:nvSpPr>
        <xdr:spPr>
          <a:xfrm>
            <a:off x="1038833" y="17204306"/>
            <a:ext cx="41141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 Informationen zu "Abrufen und transformieren" </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chritt" descr="Alles über die LINKS-Funktion, mit Links ins Web">
            <a:hlinkClick xmlns:r="http://schemas.openxmlformats.org/officeDocument/2006/relationships" r:id="rId9" tooltip="Auswählen, um alles über die LINKS-Funktion aus dem Web zu erfahren"/>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LINKS-Funktion</a:t>
            </a:r>
          </a:p>
        </xdr:txBody>
      </xdr:sp>
      <xdr:pic>
        <xdr:nvPicPr>
          <xdr:cNvPr id="209"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chritt" descr="Alles über die RECHTS-Funktion, mit Link ins Web">
            <a:hlinkClick xmlns:r="http://schemas.openxmlformats.org/officeDocument/2006/relationships" r:id="rId10" tooltip="Auswählen, um alles über die RECHTS-Funktion aus dem Web zu erfahren"/>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RECHTS-Funktion</a:t>
            </a:r>
          </a:p>
        </xdr:txBody>
      </xdr:sp>
      <xdr:pic>
        <xdr:nvPicPr>
          <xdr:cNvPr id="212" name="Grafik 22" descr="Pfeil">
            <a:hlinkClick xmlns:r="http://schemas.openxmlformats.org/officeDocument/2006/relationships" r:id="rId10" tooltip="Auswählen, um weitere Informationen aus dem Web anzuzeigen"/>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chritt" descr="Alles über die SUCHEN-Funktion, mit Link ins Web">
            <a:hlinkClick xmlns:r="http://schemas.openxmlformats.org/officeDocument/2006/relationships" r:id="rId11" tooltip="Auswählen, um alles über die SUCHEN-Funktion aus dem Web zu erfahren"/>
            <a:extLst>
              <a:ext uri="{FF2B5EF4-FFF2-40B4-BE49-F238E27FC236}">
                <a16:creationId xmlns:a16="http://schemas.microsoft.com/office/drawing/2014/main" id="{00000000-0008-0000-0300-0000D5000000}"/>
              </a:ext>
            </a:extLst>
          </xdr:cNvPr>
          <xdr:cNvSpPr txBox="1"/>
        </xdr:nvSpPr>
        <xdr:spPr>
          <a:xfrm>
            <a:off x="1038833" y="18594956"/>
            <a:ext cx="39522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SUCHEN-Funktion</a:t>
            </a:r>
          </a:p>
        </xdr:txBody>
      </xdr:sp>
      <xdr:pic>
        <xdr:nvPicPr>
          <xdr:cNvPr id="214" name="Grafik 22" descr="Pfeil">
            <a:hlinkClick xmlns:r="http://schemas.openxmlformats.org/officeDocument/2006/relationships" r:id="rId11" tooltip="Auswählen, um weitere Informationen aus dem Web anzuzeigen"/>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chritt" descr="Alles über die LÄNGE-Funktion, mit Link ins Web">
            <a:hlinkClick xmlns:r="http://schemas.openxmlformats.org/officeDocument/2006/relationships" r:id="rId12" tooltip="Auswählen, um alles über die LÄNGE-Funktion aus dem Web zu erfahren"/>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LÄNGE-Funktion</a:t>
            </a:r>
          </a:p>
        </xdr:txBody>
      </xdr:sp>
      <xdr:pic>
        <xdr:nvPicPr>
          <xdr:cNvPr id="216"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27</xdr:row>
      <xdr:rowOff>19049</xdr:rowOff>
    </xdr:from>
    <xdr:to>
      <xdr:col>1</xdr:col>
      <xdr:colOff>5238750</xdr:colOff>
      <xdr:row>51</xdr:row>
      <xdr:rowOff>47624</xdr:rowOff>
    </xdr:to>
    <xdr:grpSp>
      <xdr:nvGrpSpPr>
        <xdr:cNvPr id="3" name="Aufteilen einer Spalte anhand von Trennzeichen"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2430" y="5737859"/>
          <a:ext cx="5709285" cy="4598670"/>
          <a:chOff x="390525" y="5943599"/>
          <a:chExt cx="5695950" cy="4600575"/>
        </a:xfrm>
      </xdr:grpSpPr>
      <xdr:sp macro="" textlink="">
        <xdr:nvSpPr>
          <xdr:cNvPr id="181" name="Rechteck 180" descr="Hintergrund">
            <a:extLst>
              <a:ext uri="{FF2B5EF4-FFF2-40B4-BE49-F238E27FC236}">
                <a16:creationId xmlns:a16="http://schemas.microsoft.com/office/drawing/2014/main" id="{00000000-0008-0000-0300-0000B5000000}"/>
              </a:ext>
            </a:extLst>
          </xdr:cNvPr>
          <xdr:cNvSpPr/>
        </xdr:nvSpPr>
        <xdr:spPr>
          <a:xfrm>
            <a:off x="390525" y="5943599"/>
            <a:ext cx="5695950" cy="4600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Schritt" descr="Aufteilen einer Spalte anhand von Trennzeichen">
            <a:extLst>
              <a:ext uri="{FF2B5EF4-FFF2-40B4-BE49-F238E27FC236}">
                <a16:creationId xmlns:a16="http://schemas.microsoft.com/office/drawing/2014/main" id="{00000000-0008-0000-0300-0000B6000000}"/>
              </a:ext>
            </a:extLst>
          </xdr:cNvPr>
          <xdr:cNvSpPr txBox="1"/>
        </xdr:nvSpPr>
        <xdr:spPr>
          <a:xfrm>
            <a:off x="622273" y="6071822"/>
            <a:ext cx="5216551" cy="8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Aufteilen einer Spalte anhand von Trennzeichen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Gerader Verbinder 182" descr="Dekorative Linie">
            <a:extLst>
              <a:ext uri="{FF2B5EF4-FFF2-40B4-BE49-F238E27FC236}">
                <a16:creationId xmlns:a16="http://schemas.microsoft.com/office/drawing/2014/main" id="{00000000-0008-0000-0300-0000B7000000}"/>
              </a:ext>
            </a:extLst>
          </xdr:cNvPr>
          <xdr:cNvCxnSpPr>
            <a:cxnSpLocks/>
          </xdr:cNvCxnSpPr>
        </xdr:nvCxnSpPr>
        <xdr:spPr>
          <a:xfrm>
            <a:off x="625449" y="696976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Gerader Verbinder 183" descr="Dekorative Linie">
            <a:extLst>
              <a:ext uri="{FF2B5EF4-FFF2-40B4-BE49-F238E27FC236}">
                <a16:creationId xmlns:a16="http://schemas.microsoft.com/office/drawing/2014/main" id="{00000000-0008-0000-0300-0000B8000000}"/>
              </a:ext>
            </a:extLst>
          </xdr:cNvPr>
          <xdr:cNvCxnSpPr>
            <a:cxnSpLocks/>
          </xdr:cNvCxnSpPr>
        </xdr:nvCxnSpPr>
        <xdr:spPr>
          <a:xfrm>
            <a:off x="625449" y="1027004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chritt" descr="Die Blitzvorschau ist ziemlich nützlich. Aber wenn Sie Daten in einem Durchgang in mehrere Spalten aufteilen möchten, ist sie einfach nicht das beste Tool. Versuchen Sie es in dieser Situation mit &quot;Text in Spalten&quot;:">
            <a:extLst>
              <a:ext uri="{FF2B5EF4-FFF2-40B4-BE49-F238E27FC236}">
                <a16:creationId xmlns:a16="http://schemas.microsoft.com/office/drawing/2014/main" id="{00000000-0008-0000-0300-0000B9000000}"/>
              </a:ext>
            </a:extLst>
          </xdr:cNvPr>
          <xdr:cNvSpPr txBox="1"/>
        </xdr:nvSpPr>
        <xdr:spPr>
          <a:xfrm>
            <a:off x="619125" y="7043369"/>
            <a:ext cx="5267325" cy="662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Die Blitzvorschau ist ziemlich nützlich. Aber wenn Sie Daten in einem Durchgang in mehrere Spalten aufteilen möchten, ist sie einfach nicht das beste Tool. </a:t>
            </a:r>
            <a:r>
              <a:rPr lang="de" sz="1100" b="0">
                <a:solidFill>
                  <a:schemeClr val="tx1">
                    <a:lumMod val="75000"/>
                    <a:lumOff val="25000"/>
                  </a:schemeClr>
                </a:solidFill>
                <a:latin typeface="Segoe UI" panose="020B0502040204020203" pitchFamily="34" charset="0"/>
                <a:cs typeface="Segoe UI" panose="020B0502040204020203" pitchFamily="34" charset="0"/>
              </a:rPr>
              <a:t>Verwenden Sie </a:t>
            </a:r>
            <a:r>
              <a:rPr lang="de" sz="1100" b="1">
                <a:solidFill>
                  <a:schemeClr val="tx1">
                    <a:lumMod val="75000"/>
                    <a:lumOff val="25000"/>
                  </a:schemeClr>
                </a:solidFill>
                <a:latin typeface="Segoe UI" panose="020B0502040204020203" pitchFamily="34" charset="0"/>
                <a:cs typeface="Segoe UI" panose="020B0502040204020203" pitchFamily="34" charset="0"/>
              </a:rPr>
              <a:t>Text in Spalten </a:t>
            </a:r>
            <a:r>
              <a:rPr lang="de" sz="1100">
                <a:solidFill>
                  <a:schemeClr val="tx1">
                    <a:lumMod val="75000"/>
                    <a:lumOff val="25000"/>
                  </a:schemeClr>
                </a:solidFill>
                <a:latin typeface="Segoe UI" panose="020B0502040204020203" pitchFamily="34" charset="0"/>
                <a:cs typeface="Segoe UI" panose="020B0502040204020203" pitchFamily="34" charset="0"/>
              </a:rPr>
              <a:t>in dieser Situation:</a:t>
            </a:r>
          </a:p>
        </xdr:txBody>
      </xdr:sp>
      <xdr:sp macro="" textlink="">
        <xdr:nvSpPr>
          <xdr:cNvPr id="186" name="Schritt" descr="Wählen Sie die Zellen beginnend mit &quot;Carla&quot; bis ganz hinunter zu &quot;Yvonne&quot; durch Klicken und Ziehen aus.">
            <a:extLst>
              <a:ext uri="{FF2B5EF4-FFF2-40B4-BE49-F238E27FC236}">
                <a16:creationId xmlns:a16="http://schemas.microsoft.com/office/drawing/2014/main" id="{00000000-0008-0000-0300-0000BA000000}"/>
              </a:ext>
            </a:extLst>
          </xdr:cNvPr>
          <xdr:cNvSpPr txBox="1"/>
        </xdr:nvSpPr>
        <xdr:spPr>
          <a:xfrm>
            <a:off x="1029308" y="7703516"/>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Wählen Sie die Zellen beginnend mit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Carla</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bis ganz hinunter zu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durch Klicken und Ziehen aus.</a:t>
            </a:r>
          </a:p>
        </xdr:txBody>
      </xdr:sp>
      <xdr:sp macro="" textlink="">
        <xdr:nvSpPr>
          <xdr:cNvPr id="187" name="Ellipse 186" descr="1">
            <a:extLst>
              <a:ext uri="{FF2B5EF4-FFF2-40B4-BE49-F238E27FC236}">
                <a16:creationId xmlns:a16="http://schemas.microsoft.com/office/drawing/2014/main" id="{00000000-0008-0000-0300-0000BB000000}"/>
              </a:ext>
            </a:extLst>
          </xdr:cNvPr>
          <xdr:cNvSpPr/>
        </xdr:nvSpPr>
        <xdr:spPr>
          <a:xfrm>
            <a:off x="622274" y="770864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88" name="Schritt" descr="Klicken Sie auf der Registerkarte &quot;Daten&quot; auf &quot;Text in Spalten&quot;. Achten Sie darauf, dass &quot;Getrennt&quot; ausgewählt ist, und klicken Sie dann auf &quot;Weiter&quot;.">
            <a:extLst>
              <a:ext uri="{FF2B5EF4-FFF2-40B4-BE49-F238E27FC236}">
                <a16:creationId xmlns:a16="http://schemas.microsoft.com/office/drawing/2014/main" id="{00000000-0008-0000-0300-0000BC000000}"/>
              </a:ext>
            </a:extLst>
          </xdr:cNvPr>
          <xdr:cNvSpPr txBox="1"/>
        </xdr:nvSpPr>
        <xdr:spPr>
          <a:xfrm>
            <a:off x="1029307" y="815670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der Registerkarte </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in Spalten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Achten Sie darauf, dass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Getrennt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ausgewählt ist, und klicken Sie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Weiter</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Ellipse 188" descr="2">
            <a:extLst>
              <a:ext uri="{FF2B5EF4-FFF2-40B4-BE49-F238E27FC236}">
                <a16:creationId xmlns:a16="http://schemas.microsoft.com/office/drawing/2014/main" id="{00000000-0008-0000-0300-0000BD000000}"/>
              </a:ext>
            </a:extLst>
          </xdr:cNvPr>
          <xdr:cNvSpPr/>
        </xdr:nvSpPr>
        <xdr:spPr>
          <a:xfrm>
            <a:off x="622274" y="81618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91" name="Schritt" descr="Vergewissern Sie sich unter &quot;Trennzeichen&quot;, dass &quot;Komma&quot; als einziges Kontrollkästchen ausgewählt ist, und klicken Sie dann auf &quot;Weiter&quot;.">
            <a:extLst>
              <a:ext uri="{FF2B5EF4-FFF2-40B4-BE49-F238E27FC236}">
                <a16:creationId xmlns:a16="http://schemas.microsoft.com/office/drawing/2014/main" id="{00000000-0008-0000-0300-0000BF000000}"/>
              </a:ext>
            </a:extLst>
          </xdr:cNvPr>
          <xdr:cNvSpPr txBox="1"/>
        </xdr:nvSpPr>
        <xdr:spPr>
          <a:xfrm>
            <a:off x="1029307" y="8682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Vergewissern Sie sich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Trennzeichen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dass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Komma</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als einziges Kontrollkästchen ausgewählt ist, und klicken Sie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Weiter</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Ellipse 191" descr="3">
            <a:extLst>
              <a:ext uri="{FF2B5EF4-FFF2-40B4-BE49-F238E27FC236}">
                <a16:creationId xmlns:a16="http://schemas.microsoft.com/office/drawing/2014/main" id="{00000000-0008-0000-0300-0000C0000000}"/>
              </a:ext>
            </a:extLst>
          </xdr:cNvPr>
          <xdr:cNvSpPr/>
        </xdr:nvSpPr>
        <xdr:spPr>
          <a:xfrm>
            <a:off x="622274" y="86776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93" name="Schritt" descr="Klicken Sie auf die Option &quot;Allgemein&quot;.">
            <a:extLst>
              <a:ext uri="{FF2B5EF4-FFF2-40B4-BE49-F238E27FC236}">
                <a16:creationId xmlns:a16="http://schemas.microsoft.com/office/drawing/2014/main" id="{00000000-0008-0000-0300-0000C1000000}"/>
              </a:ext>
            </a:extLst>
          </xdr:cNvPr>
          <xdr:cNvSpPr txBox="1"/>
        </xdr:nvSpPr>
        <xdr:spPr>
          <a:xfrm>
            <a:off x="1029307" y="925164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die Option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Standard</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94" name="Ellipse 193" descr="4">
            <a:extLst>
              <a:ext uri="{FF2B5EF4-FFF2-40B4-BE49-F238E27FC236}">
                <a16:creationId xmlns:a16="http://schemas.microsoft.com/office/drawing/2014/main" id="{00000000-0008-0000-0300-0000C2000000}"/>
              </a:ext>
            </a:extLst>
          </xdr:cNvPr>
          <xdr:cNvSpPr/>
        </xdr:nvSpPr>
        <xdr:spPr>
          <a:xfrm>
            <a:off x="622274" y="91900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95" name="Schritt" descr="Klicken Sie abschließend auf das Feld &quot;Zielbereich&quot;, und geben Sie &quot;$D$32&quot; ein. Klicken Sie dann auf &quot;Fertig stellen&quot;.">
            <a:extLst>
              <a:ext uri="{FF2B5EF4-FFF2-40B4-BE49-F238E27FC236}">
                <a16:creationId xmlns:a16="http://schemas.microsoft.com/office/drawing/2014/main" id="{00000000-0008-0000-0300-0000C3000000}"/>
              </a:ext>
            </a:extLst>
          </xdr:cNvPr>
          <xdr:cNvSpPr txBox="1"/>
        </xdr:nvSpPr>
        <xdr:spPr>
          <a:xfrm>
            <a:off x="1029307" y="9670511"/>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abschließend auf das Feld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Zielbereich</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geben Sie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 Klicken Sie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Fertig stellen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Ellipse 195" descr="5">
            <a:extLst>
              <a:ext uri="{FF2B5EF4-FFF2-40B4-BE49-F238E27FC236}">
                <a16:creationId xmlns:a16="http://schemas.microsoft.com/office/drawing/2014/main" id="{00000000-0008-0000-0300-0000C4000000}"/>
              </a:ext>
            </a:extLst>
          </xdr:cNvPr>
          <xdr:cNvSpPr/>
        </xdr:nvSpPr>
        <xdr:spPr>
          <a:xfrm>
            <a:off x="622274" y="96565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171447</xdr:rowOff>
    </xdr:from>
    <xdr:to>
      <xdr:col>6</xdr:col>
      <xdr:colOff>504825</xdr:colOff>
      <xdr:row>50</xdr:row>
      <xdr:rowOff>161923</xdr:rowOff>
    </xdr:to>
    <xdr:grpSp>
      <xdr:nvGrpSpPr>
        <xdr:cNvPr id="2" name="EINE UNTERSUCHUNG WERT" descr="EINE UNTERSUCHUNG WERT: Es gibt eine andere Möglichkeit, mit Daten zu arbeiten. Sie können eine externe Quelle abfragen und die aus der Quelle stammenden Daten aufteilen. Das brauchen Sie nur einmal auszuführen, anschließend sind die Daten aktualisierbar und leicht zu verwenden. Neugierig? Klicken Sie auf die Registerkarte &quot;Daten&quot;, und untersuchen Sie dann die Optionen im Bereich &quot;Abrufen und Transformieren&quot;. Oder folgen Sie dem Link unten auf diesem Blatt.">
          <a:extLst>
            <a:ext uri="{FF2B5EF4-FFF2-40B4-BE49-F238E27FC236}">
              <a16:creationId xmlns:a16="http://schemas.microsoft.com/office/drawing/2014/main" id="{00000000-0008-0000-0300-000002000000}"/>
            </a:ext>
          </a:extLst>
        </xdr:cNvPr>
        <xdr:cNvGrpSpPr/>
      </xdr:nvGrpSpPr>
      <xdr:grpSpPr>
        <a:xfrm>
          <a:off x="8660130" y="8176257"/>
          <a:ext cx="3467100" cy="2084071"/>
          <a:chOff x="8477250" y="8591549"/>
          <a:chExt cx="3314700" cy="1841253"/>
        </a:xfrm>
      </xdr:grpSpPr>
      <xdr:pic>
        <xdr:nvPicPr>
          <xdr:cNvPr id="227" name="Grafik 9" descr="Wanderung">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chritt" descr="EINE UNTERSUCHUNG WERT&#10;Es gibt eine andere Möglichkeit, mit Daten zu arbeiten. Sie können eine externe Quelle abfragen und die aus der Quelle stammenden Daten aufteilen. Das brauchen Sie nur einmal auszuführen, anschließend sind die Daten aktualisierbar und leicht zu verwenden. Neugierig? Klicken Sie auf die Registerkarte Daten, und untersuchen Sie dann die Optionen im Bereich Abrufen und transformieren. Oder folgen Sie dem Link unten auf diesem Blatt.&#10;">
            <a:extLst>
              <a:ext uri="{FF2B5EF4-FFF2-40B4-BE49-F238E27FC236}">
                <a16:creationId xmlns:a16="http://schemas.microsoft.com/office/drawing/2014/main" id="{00000000-0008-0000-0300-0000E4000000}"/>
              </a:ext>
            </a:extLst>
          </xdr:cNvPr>
          <xdr:cNvSpPr txBox="1"/>
        </xdr:nvSpPr>
        <xdr:spPr>
          <a:xfrm>
            <a:off x="8783628" y="8591549"/>
            <a:ext cx="3008322" cy="184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EINE UNTERSUCHUNG WERT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Es gibt eine andere Möglichkeit, mit Daten zu arbeiten. S</a:t>
            </a:r>
            <a:r>
              <a:rPr lang="de" sz="1100" kern="0" baseline="0">
                <a:solidFill>
                  <a:schemeClr val="bg2">
                    <a:lumMod val="25000"/>
                  </a:schemeClr>
                </a:solidFill>
                <a:ea typeface="Segoe UI" pitchFamily="34" charset="0"/>
                <a:cs typeface="Segoe UI Light" panose="020B0502040204020203" pitchFamily="34" charset="0"/>
              </a:rPr>
              <a:t>ie können eine externe Quelle abfragen und die aus der Quelle stammenden Daten aufteilen. Das brauchen Sie nur einmal auszuführen, anschließend sind die Daten aktualisierbar und leicht zu verwenden. Neugierig? Klicken Sie auf die Registerkarte </a:t>
            </a:r>
            <a:r>
              <a:rPr lang="de" sz="1100" b="1" kern="0" baseline="0">
                <a:solidFill>
                  <a:schemeClr val="bg2">
                    <a:lumMod val="25000"/>
                  </a:schemeClr>
                </a:solidFill>
                <a:ea typeface="Segoe UI" pitchFamily="34" charset="0"/>
                <a:cs typeface="Segoe UI Light" panose="020B0502040204020203" pitchFamily="34" charset="0"/>
              </a:rPr>
              <a:t>Daten</a:t>
            </a:r>
            <a:r>
              <a:rPr lang="de" sz="1100" kern="0" baseline="0">
                <a:solidFill>
                  <a:schemeClr val="bg2">
                    <a:lumMod val="25000"/>
                  </a:schemeClr>
                </a:solidFill>
                <a:ea typeface="Segoe UI" pitchFamily="34" charset="0"/>
                <a:cs typeface="Segoe UI Light" panose="020B0502040204020203" pitchFamily="34" charset="0"/>
              </a:rPr>
              <a:t>, und untersuchen Sie dann die Optionen im Bereich </a:t>
            </a:r>
            <a:r>
              <a:rPr lang="de" sz="1100" b="1" kern="0" baseline="0">
                <a:solidFill>
                  <a:schemeClr val="bg2">
                    <a:lumMod val="25000"/>
                  </a:schemeClr>
                </a:solidFill>
                <a:ea typeface="Segoe UI" pitchFamily="34" charset="0"/>
                <a:cs typeface="Segoe UI Light" panose="020B0502040204020203" pitchFamily="34" charset="0"/>
              </a:rPr>
              <a:t>Daten</a:t>
            </a:r>
            <a:r>
              <a:rPr lang="de" sz="1100" kern="0" baseline="0">
                <a:solidFill>
                  <a:schemeClr val="bg2">
                    <a:lumMod val="25000"/>
                  </a:schemeClr>
                </a:solidFill>
                <a:ea typeface="Segoe UI" pitchFamily="34" charset="0"/>
                <a:cs typeface="Segoe UI Light" panose="020B0502040204020203" pitchFamily="34" charset="0"/>
              </a:rPr>
              <a:t> </a:t>
            </a:r>
            <a:r>
              <a:rPr lang="de" sz="1100" b="1" kern="0" baseline="0">
                <a:solidFill>
                  <a:schemeClr val="bg2">
                    <a:lumMod val="25000"/>
                  </a:schemeClr>
                </a:solidFill>
                <a:ea typeface="Segoe UI" pitchFamily="34" charset="0"/>
                <a:cs typeface="Segoe UI Light" panose="020B0502040204020203" pitchFamily="34" charset="0"/>
              </a:rPr>
              <a:t>abrufen und transformieren</a:t>
            </a:r>
            <a:r>
              <a:rPr lang="de" sz="1100" kern="0" baseline="0">
                <a:solidFill>
                  <a:schemeClr val="bg2">
                    <a:lumMod val="25000"/>
                  </a:schemeClr>
                </a:solidFill>
                <a:ea typeface="Segoe UI" pitchFamily="34" charset="0"/>
                <a:cs typeface="Segoe UI Light" panose="020B0502040204020203" pitchFamily="34" charset="0"/>
              </a:rPr>
              <a:t>. Oder folgen Sie dem Link unten auf diesem Blatt.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390525</xdr:colOff>
      <xdr:row>0</xdr:row>
      <xdr:rowOff>257175</xdr:rowOff>
    </xdr:from>
    <xdr:to>
      <xdr:col>1</xdr:col>
      <xdr:colOff>5238750</xdr:colOff>
      <xdr:row>25</xdr:row>
      <xdr:rowOff>85725</xdr:rowOff>
    </xdr:to>
    <xdr:grpSp>
      <xdr:nvGrpSpPr>
        <xdr:cNvPr id="13" name="Gruppieren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92430" y="255270"/>
          <a:ext cx="5709285" cy="5166360"/>
          <a:chOff x="323850" y="257175"/>
          <a:chExt cx="5695950" cy="5162550"/>
        </a:xfrm>
      </xdr:grpSpPr>
      <xdr:grpSp>
        <xdr:nvGrpSpPr>
          <xdr:cNvPr id="10" name="Gruppieren 9">
            <a:extLst>
              <a:ext uri="{FF2B5EF4-FFF2-40B4-BE49-F238E27FC236}">
                <a16:creationId xmlns:a16="http://schemas.microsoft.com/office/drawing/2014/main" id="{F13F9B2E-C4F3-4E13-8DDF-A418488030B5}"/>
              </a:ext>
            </a:extLst>
          </xdr:cNvPr>
          <xdr:cNvGrpSpPr/>
        </xdr:nvGrpSpPr>
        <xdr:grpSpPr>
          <a:xfrm>
            <a:off x="323850" y="257175"/>
            <a:ext cx="5695950" cy="5162550"/>
            <a:chOff x="323850" y="257175"/>
            <a:chExt cx="5695950" cy="5162550"/>
          </a:xfrm>
        </xdr:grpSpPr>
        <xdr:sp macro="" textlink="">
          <xdr:nvSpPr>
            <xdr:cNvPr id="73" name="Rechteck 72" descr="Hintergrund">
              <a:extLst>
                <a:ext uri="{FF2B5EF4-FFF2-40B4-BE49-F238E27FC236}">
                  <a16:creationId xmlns:a16="http://schemas.microsoft.com/office/drawing/2014/main" id="{00000000-0008-0000-0300-000049000000}"/>
                </a:ext>
              </a:extLst>
            </xdr:cNvPr>
            <xdr:cNvSpPr/>
          </xdr:nvSpPr>
          <xdr:spPr>
            <a:xfrm>
              <a:off x="323850" y="257175"/>
              <a:ext cx="5695950" cy="51625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Schritt" descr="Sind alle Daten in eine Spalte gequetscht? Teilen Sie sie auf.">
              <a:extLst>
                <a:ext uri="{FF2B5EF4-FFF2-40B4-BE49-F238E27FC236}">
                  <a16:creationId xmlns:a16="http://schemas.microsoft.com/office/drawing/2014/main" id="{00000000-0008-0000-0300-00004A000000}"/>
                </a:ext>
              </a:extLst>
            </xdr:cNvPr>
            <xdr:cNvSpPr txBox="1"/>
          </xdr:nvSpPr>
          <xdr:spPr>
            <a:xfrm>
              <a:off x="555598" y="375873"/>
              <a:ext cx="5216551" cy="929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Sind die Daten in eine Spalte gequetscht? Teilen Sie sie auf.</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Gerader Verbinder 74" descr="Dekorative Linie">
              <a:extLst>
                <a:ext uri="{FF2B5EF4-FFF2-40B4-BE49-F238E27FC236}">
                  <a16:creationId xmlns:a16="http://schemas.microsoft.com/office/drawing/2014/main" id="{00000000-0008-0000-0300-00004B000000}"/>
                </a:ext>
              </a:extLst>
            </xdr:cNvPr>
            <xdr:cNvCxnSpPr>
              <a:cxnSpLocks/>
            </xdr:cNvCxnSpPr>
          </xdr:nvCxnSpPr>
          <xdr:spPr>
            <a:xfrm>
              <a:off x="558774" y="12833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Schaltfläche &quot;Weiter&quot;" descr="Mehr Details erfahren">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77595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77" name="Gerader Verbinder 76" descr="Dekorative Linie">
              <a:extLst>
                <a:ext uri="{FF2B5EF4-FFF2-40B4-BE49-F238E27FC236}">
                  <a16:creationId xmlns:a16="http://schemas.microsoft.com/office/drawing/2014/main" id="{00000000-0008-0000-0300-00004D000000}"/>
                </a:ext>
              </a:extLst>
            </xdr:cNvPr>
            <xdr:cNvCxnSpPr>
              <a:cxnSpLocks/>
            </xdr:cNvCxnSpPr>
          </xdr:nvCxnSpPr>
          <xdr:spPr>
            <a:xfrm>
              <a:off x="558774" y="45466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300-00004E000000}"/>
                </a:ext>
              </a:extLst>
            </xdr:cNvPr>
            <xdr:cNvSpPr/>
          </xdr:nvSpPr>
          <xdr:spPr>
            <a:xfrm>
              <a:off x="4305300" y="4775957"/>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79" name="Schritt" descr="Geben Sie in den Zellen unter &quot;Vornamen&quot; die Vornamen aus der E-Mail-Spalte ein: Carla, Ralf usw.">
              <a:extLst>
                <a:ext uri="{FF2B5EF4-FFF2-40B4-BE49-F238E27FC236}">
                  <a16:creationId xmlns:a16="http://schemas.microsoft.com/office/drawing/2014/main" id="{00000000-0008-0000-0300-00004F000000}"/>
                </a:ext>
              </a:extLst>
            </xdr:cNvPr>
            <xdr:cNvSpPr txBox="1"/>
          </xdr:nvSpPr>
          <xdr:spPr>
            <a:xfrm>
              <a:off x="962633" y="1416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den Zellen unter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Vorname</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die Vornamen aus der E-Mail-Spalte ein: </a:t>
              </a:r>
              <a:r>
                <a:rPr lang="de"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Carla</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Ralf</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usw.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Ellipse 79" descr="1">
              <a:extLst>
                <a:ext uri="{FF2B5EF4-FFF2-40B4-BE49-F238E27FC236}">
                  <a16:creationId xmlns:a16="http://schemas.microsoft.com/office/drawing/2014/main" id="{00000000-0008-0000-0300-000050000000}"/>
                </a:ext>
              </a:extLst>
            </xdr:cNvPr>
            <xdr:cNvSpPr/>
          </xdr:nvSpPr>
          <xdr:spPr>
            <a:xfrm>
              <a:off x="555599" y="142132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81" name="Schritt" descr="Wenn die grau dargestellte Liste mit Vorschlägen angezeigt wird, drücken Sie sofort die Eingabetaste.">
              <a:extLst>
                <a:ext uri="{FF2B5EF4-FFF2-40B4-BE49-F238E27FC236}">
                  <a16:creationId xmlns:a16="http://schemas.microsoft.com/office/drawing/2014/main" id="{00000000-0008-0000-0300-000051000000}"/>
                </a:ext>
              </a:extLst>
            </xdr:cNvPr>
            <xdr:cNvSpPr txBox="1"/>
          </xdr:nvSpPr>
          <xdr:spPr>
            <a:xfrm>
              <a:off x="962632" y="19110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 die grau dargestellte Liste mit Vorschlägen angezeigt wird, drücken Sie sofort die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EINGABETASTE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2" name="Ellipse 81" descr="2">
              <a:extLst>
                <a:ext uri="{FF2B5EF4-FFF2-40B4-BE49-F238E27FC236}">
                  <a16:creationId xmlns:a16="http://schemas.microsoft.com/office/drawing/2014/main" id="{00000000-0008-0000-0300-000052000000}"/>
                </a:ext>
              </a:extLst>
            </xdr:cNvPr>
            <xdr:cNvSpPr/>
          </xdr:nvSpPr>
          <xdr:spPr>
            <a:xfrm>
              <a:off x="555599" y="193520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83" name="Schritt" descr="Die Blitzvorschau kann auch noch auf andere Weise verwendet werden: Klicken Sie auf die Zelle mit „Kobusch“.">
              <a:extLst>
                <a:ext uri="{FF2B5EF4-FFF2-40B4-BE49-F238E27FC236}">
                  <a16:creationId xmlns:a16="http://schemas.microsoft.com/office/drawing/2014/main" id="{00000000-0008-0000-0300-000053000000}"/>
                </a:ext>
              </a:extLst>
            </xdr:cNvPr>
            <xdr:cNvSpPr txBox="1"/>
          </xdr:nvSpPr>
          <xdr:spPr>
            <a:xfrm>
              <a:off x="962633" y="3408228"/>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Blitzvorschau kann auch noch auf andere Weise verwendet werden: Klicken Sie auf die Zelle mit „Kobusch“.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Ellipse 83" descr="3">
              <a:extLst>
                <a:ext uri="{FF2B5EF4-FFF2-40B4-BE49-F238E27FC236}">
                  <a16:creationId xmlns:a16="http://schemas.microsoft.com/office/drawing/2014/main" id="{00000000-0008-0000-0300-000054000000}"/>
                </a:ext>
              </a:extLst>
            </xdr:cNvPr>
            <xdr:cNvSpPr/>
          </xdr:nvSpPr>
          <xdr:spPr>
            <a:xfrm>
              <a:off x="555599" y="34324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86" name="Schritt" descr="Diese Vorschlagsliste wird als Blitzvorschau bezeichnet. Die Blitzvorschau erkennt ein einheitliches Muster bei der Eingabe, und macht Vorschläge zum Auffüllen der Zellen. Wenn die grau dargestellte Liste angezeigt wird, ist das Ihr Signal zum Drücken der Eingabetaste.">
              <a:extLst>
                <a:ext uri="{FF2B5EF4-FFF2-40B4-BE49-F238E27FC236}">
                  <a16:creationId xmlns:a16="http://schemas.microsoft.com/office/drawing/2014/main" id="{00000000-0008-0000-0300-000056000000}"/>
                </a:ext>
              </a:extLst>
            </xdr:cNvPr>
            <xdr:cNvSpPr txBox="1"/>
          </xdr:nvSpPr>
          <xdr:spPr>
            <a:xfrm>
              <a:off x="1808447" y="2362200"/>
              <a:ext cx="3866542"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Diese Vorschlagsliste wird als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Blitzvorschau</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bezeichnet. Bei der Eingabe erkennt die Blitzvorschau übereinstimmende Muster und macht Vorschläge zum Ausfüllen der Zellen. Sobald die grau hinterlegte Liste angezeigt wird, können Sie die EINGABETASTE drücken.</a:t>
              </a:r>
              <a:endPar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7" name="Schritt" descr="Klicken Sie auf &quot;Start&quot; &gt; &quot;Füllbereich&quot; &gt; &quot;Blitzvorschau&quot;. Jetzt befinden sich die Nachnamen in einer eigenen Spalte.">
              <a:extLst>
                <a:ext uri="{FF2B5EF4-FFF2-40B4-BE49-F238E27FC236}">
                  <a16:creationId xmlns:a16="http://schemas.microsoft.com/office/drawing/2014/main" id="{00000000-0008-0000-0300-000057000000}"/>
                </a:ext>
              </a:extLst>
            </xdr:cNvPr>
            <xdr:cNvSpPr txBox="1"/>
          </xdr:nvSpPr>
          <xdr:spPr>
            <a:xfrm>
              <a:off x="962633" y="3929018"/>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Start</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Ausfüllen </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Blitzvorschau</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Jetzt befinden sich die Nachnamen in einer eigenen Spalte.</a:t>
              </a:r>
            </a:p>
          </xdr:txBody>
        </xdr:sp>
        <xdr:sp macro="" textlink="">
          <xdr:nvSpPr>
            <xdr:cNvPr id="88" name="Ellipse 87" descr="4">
              <a:extLst>
                <a:ext uri="{FF2B5EF4-FFF2-40B4-BE49-F238E27FC236}">
                  <a16:creationId xmlns:a16="http://schemas.microsoft.com/office/drawing/2014/main" id="{00000000-0008-0000-0300-000058000000}"/>
                </a:ext>
              </a:extLst>
            </xdr:cNvPr>
            <xdr:cNvSpPr/>
          </xdr:nvSpPr>
          <xdr:spPr>
            <a:xfrm>
              <a:off x="555599" y="39341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pic>
        <xdr:nvPicPr>
          <xdr:cNvPr id="12" name="Bild 11" descr="Blitzvorschau">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rcRect/>
          <a:stretch/>
        </xdr:blipFill>
        <xdr:spPr>
          <a:xfrm>
            <a:off x="1047751" y="2390774"/>
            <a:ext cx="806532" cy="91743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381000</xdr:colOff>
      <xdr:row>0</xdr:row>
      <xdr:rowOff>266700</xdr:rowOff>
    </xdr:from>
    <xdr:to>
      <xdr:col>1</xdr:col>
      <xdr:colOff>5229225</xdr:colOff>
      <xdr:row>24</xdr:row>
      <xdr:rowOff>104775</xdr:rowOff>
    </xdr:to>
    <xdr:grpSp>
      <xdr:nvGrpSpPr>
        <xdr:cNvPr id="11" name="Vertauschen der Position von Daten durch Transponieren"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81000" y="266700"/>
          <a:ext cx="5716905" cy="4979670"/>
          <a:chOff x="323850" y="266700"/>
          <a:chExt cx="5695950" cy="4981575"/>
        </a:xfrm>
      </xdr:grpSpPr>
      <xdr:sp macro="" textlink="">
        <xdr:nvSpPr>
          <xdr:cNvPr id="73" name="Rechteck 72" descr="Hintergrund">
            <a:extLst>
              <a:ext uri="{FF2B5EF4-FFF2-40B4-BE49-F238E27FC236}">
                <a16:creationId xmlns:a16="http://schemas.microsoft.com/office/drawing/2014/main" id="{00000000-0008-0000-0400-000049000000}"/>
              </a:ext>
            </a:extLst>
          </xdr:cNvPr>
          <xdr:cNvSpPr/>
        </xdr:nvSpPr>
        <xdr:spPr>
          <a:xfrm>
            <a:off x="323850" y="266700"/>
            <a:ext cx="5695950" cy="498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Schritt" descr="Vertauschen der Position von Daten durch Transponieren">
            <a:extLst>
              <a:ext uri="{FF2B5EF4-FFF2-40B4-BE49-F238E27FC236}">
                <a16:creationId xmlns:a16="http://schemas.microsoft.com/office/drawing/2014/main" id="{00000000-0008-0000-0400-00004A000000}"/>
              </a:ext>
            </a:extLst>
          </xdr:cNvPr>
          <xdr:cNvSpPr txBox="1"/>
        </xdr:nvSpPr>
        <xdr:spPr>
          <a:xfrm>
            <a:off x="555598" y="385398"/>
            <a:ext cx="5216551" cy="862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Vertauschen der Position von Daten durch Transponieren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Gerader Verbinder 74" descr="Dekorative Linie">
            <a:extLst>
              <a:ext uri="{FF2B5EF4-FFF2-40B4-BE49-F238E27FC236}">
                <a16:creationId xmlns:a16="http://schemas.microsoft.com/office/drawing/2014/main" id="{00000000-0008-0000-0400-00004B000000}"/>
              </a:ext>
            </a:extLst>
          </xdr:cNvPr>
          <xdr:cNvCxnSpPr>
            <a:cxnSpLocks/>
          </xdr:cNvCxnSpPr>
        </xdr:nvCxnSpPr>
        <xdr:spPr>
          <a:xfrm>
            <a:off x="558774" y="13023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Schaltfläche &quot;Weiter&quot;" descr="Mehr Details erfahren">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5187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77" name="Gerader Verbinder 76" descr="Dekorative Linie">
            <a:extLst>
              <a:ext uri="{FF2B5EF4-FFF2-40B4-BE49-F238E27FC236}">
                <a16:creationId xmlns:a16="http://schemas.microsoft.com/office/drawing/2014/main" id="{00000000-0008-0000-0400-00004D000000}"/>
              </a:ext>
            </a:extLst>
          </xdr:cNvPr>
          <xdr:cNvCxnSpPr>
            <a:cxnSpLocks/>
          </xdr:cNvCxnSpPr>
        </xdr:nvCxnSpPr>
        <xdr:spPr>
          <a:xfrm>
            <a:off x="558774" y="42576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400-00004E000000}"/>
              </a:ext>
            </a:extLst>
          </xdr:cNvPr>
          <xdr:cNvSpPr/>
        </xdr:nvSpPr>
        <xdr:spPr>
          <a:xfrm>
            <a:off x="4286250" y="4518782"/>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79" name="Schritt" descr="Wenn Sie Zeilen und Spalten vertauschen müssen, transponieren Sie sie in Excel.">
            <a:extLst>
              <a:ext uri="{FF2B5EF4-FFF2-40B4-BE49-F238E27FC236}">
                <a16:creationId xmlns:a16="http://schemas.microsoft.com/office/drawing/2014/main" id="{00000000-0008-0000-0400-00004F000000}"/>
              </a:ext>
            </a:extLst>
          </xdr:cNvPr>
          <xdr:cNvSpPr txBox="1"/>
        </xdr:nvSpPr>
        <xdr:spPr>
          <a:xfrm>
            <a:off x="552450" y="13759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 Sie Zeilen und Spalten vertauschen müssen, </a:t>
            </a:r>
            <a:r>
              <a:rPr lang="de"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transponieren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Sie sie in Excel.</a:t>
            </a:r>
          </a:p>
        </xdr:txBody>
      </xdr:sp>
      <xdr:sp macro="" textlink="">
        <xdr:nvSpPr>
          <xdr:cNvPr id="80" name="Schritt" descr="Wählen Sie die letzten zwei Zeilen mit Zellen von &quot;Artikel&quot; bis &quot;20&quot; mit Klicken und Ziehen aus.">
            <a:extLst>
              <a:ext uri="{FF2B5EF4-FFF2-40B4-BE49-F238E27FC236}">
                <a16:creationId xmlns:a16="http://schemas.microsoft.com/office/drawing/2014/main" id="{00000000-0008-0000-0400-000050000000}"/>
              </a:ext>
            </a:extLst>
          </xdr:cNvPr>
          <xdr:cNvSpPr txBox="1"/>
        </xdr:nvSpPr>
        <xdr:spPr>
          <a:xfrm>
            <a:off x="962633" y="1674484"/>
            <a:ext cx="4809516" cy="53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die letzten zwei Zeilen mit Zellen von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Artikel</a:t>
            </a:r>
            <a:r>
              <a:rPr lang="de"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bis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durch Klicken und Ziehen aus.</a:t>
            </a:r>
          </a:p>
        </xdr:txBody>
      </xdr:sp>
      <xdr:sp macro="" textlink="">
        <xdr:nvSpPr>
          <xdr:cNvPr id="81" name="Ellipse 80" descr="1">
            <a:extLst>
              <a:ext uri="{FF2B5EF4-FFF2-40B4-BE49-F238E27FC236}">
                <a16:creationId xmlns:a16="http://schemas.microsoft.com/office/drawing/2014/main" id="{00000000-0008-0000-0400-000051000000}"/>
              </a:ext>
            </a:extLst>
          </xdr:cNvPr>
          <xdr:cNvSpPr/>
        </xdr:nvSpPr>
        <xdr:spPr>
          <a:xfrm>
            <a:off x="555599" y="16796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82" name="Schritt" descr="Jetzt kopieren Sie die Zellen. Drücken Sie die STRG- und die C-Taste.">
            <a:extLst>
              <a:ext uri="{FF2B5EF4-FFF2-40B4-BE49-F238E27FC236}">
                <a16:creationId xmlns:a16="http://schemas.microsoft.com/office/drawing/2014/main" id="{00000000-0008-0000-0400-000052000000}"/>
              </a:ext>
            </a:extLst>
          </xdr:cNvPr>
          <xdr:cNvSpPr txBox="1"/>
        </xdr:nvSpPr>
        <xdr:spPr>
          <a:xfrm>
            <a:off x="962633" y="2215579"/>
            <a:ext cx="4809516" cy="337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Jetzt kopieren Sie die Zellen. Drücken Sie 	</a:t>
            </a:r>
          </a:p>
        </xdr:txBody>
      </xdr:sp>
      <xdr:sp macro="" textlink="">
        <xdr:nvSpPr>
          <xdr:cNvPr id="83" name="Ellipse 82" descr="2">
            <a:extLst>
              <a:ext uri="{FF2B5EF4-FFF2-40B4-BE49-F238E27FC236}">
                <a16:creationId xmlns:a16="http://schemas.microsoft.com/office/drawing/2014/main" id="{00000000-0008-0000-0400-000053000000}"/>
              </a:ext>
            </a:extLst>
          </xdr:cNvPr>
          <xdr:cNvSpPr/>
        </xdr:nvSpPr>
        <xdr:spPr>
          <a:xfrm>
            <a:off x="555599" y="215403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95" name="Rechteck: Abgerundete Ecken 94" descr="STRG-Taste">
            <a:extLst>
              <a:ext uri="{FF2B5EF4-FFF2-40B4-BE49-F238E27FC236}">
                <a16:creationId xmlns:a16="http://schemas.microsoft.com/office/drawing/2014/main" id="{00000000-0008-0000-0400-00005F000000}"/>
              </a:ext>
            </a:extLst>
          </xdr:cNvPr>
          <xdr:cNvSpPr/>
        </xdr:nvSpPr>
        <xdr:spPr>
          <a:xfrm>
            <a:off x="3624328" y="2218371"/>
            <a:ext cx="547621"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STRG</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hteck: Abgerundete Ecken 95" descr="C-Taste">
            <a:extLst>
              <a:ext uri="{FF2B5EF4-FFF2-40B4-BE49-F238E27FC236}">
                <a16:creationId xmlns:a16="http://schemas.microsoft.com/office/drawing/2014/main" id="{00000000-0008-0000-0400-000060000000}"/>
              </a:ext>
            </a:extLst>
          </xdr:cNvPr>
          <xdr:cNvSpPr/>
        </xdr:nvSpPr>
        <xdr:spPr>
          <a:xfrm>
            <a:off x="4238692" y="2218371"/>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C</a:t>
            </a:r>
          </a:p>
        </xdr:txBody>
      </xdr:sp>
      <xdr:sp macro="" textlink="">
        <xdr:nvSpPr>
          <xdr:cNvPr id="85" name="Schritt" descr="Klicken Sie auf die gelbe Zelle.">
            <a:extLst>
              <a:ext uri="{FF2B5EF4-FFF2-40B4-BE49-F238E27FC236}">
                <a16:creationId xmlns:a16="http://schemas.microsoft.com/office/drawing/2014/main" id="{00000000-0008-0000-0400-000055000000}"/>
              </a:ext>
            </a:extLst>
          </xdr:cNvPr>
          <xdr:cNvSpPr txBox="1"/>
        </xdr:nvSpPr>
        <xdr:spPr>
          <a:xfrm>
            <a:off x="962633" y="2682230"/>
            <a:ext cx="4809516" cy="31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die gelbe Zelle.</a:t>
            </a:r>
          </a:p>
        </xdr:txBody>
      </xdr:sp>
      <xdr:sp macro="" textlink="">
        <xdr:nvSpPr>
          <xdr:cNvPr id="86" name="Ellipse 85" descr="3">
            <a:extLst>
              <a:ext uri="{FF2B5EF4-FFF2-40B4-BE49-F238E27FC236}">
                <a16:creationId xmlns:a16="http://schemas.microsoft.com/office/drawing/2014/main" id="{00000000-0008-0000-0400-000056000000}"/>
              </a:ext>
            </a:extLst>
          </xdr:cNvPr>
          <xdr:cNvSpPr/>
        </xdr:nvSpPr>
        <xdr:spPr>
          <a:xfrm>
            <a:off x="555599" y="26397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87" name="Schritt" descr="Klicken Sie auf der Registerkarte &quot;Start&quot; auf den Pfeil unter der Schaltfläche &quot;Einfügen&quot;.">
            <a:extLst>
              <a:ext uri="{FF2B5EF4-FFF2-40B4-BE49-F238E27FC236}">
                <a16:creationId xmlns:a16="http://schemas.microsoft.com/office/drawing/2014/main" id="{00000000-0008-0000-0400-000057000000}"/>
              </a:ext>
            </a:extLst>
          </xdr:cNvPr>
          <xdr:cNvSpPr txBox="1"/>
        </xdr:nvSpPr>
        <xdr:spPr>
          <a:xfrm>
            <a:off x="962633" y="3118549"/>
            <a:ext cx="4561867"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der Registerkarte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Start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auf den Pfeil unter der Schaltfläche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Einfügen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8" name="Ellipse 87" descr="4">
            <a:extLst>
              <a:ext uri="{FF2B5EF4-FFF2-40B4-BE49-F238E27FC236}">
                <a16:creationId xmlns:a16="http://schemas.microsoft.com/office/drawing/2014/main" id="{00000000-0008-0000-0400-000058000000}"/>
              </a:ext>
            </a:extLst>
          </xdr:cNvPr>
          <xdr:cNvSpPr/>
        </xdr:nvSpPr>
        <xdr:spPr>
          <a:xfrm>
            <a:off x="555599" y="31141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90" name="Schritt" descr="Klicken Sie auf &quot;Inhalte einfügen&quot;, und klicken Sie dann unten auf das Kontrollkästchen für Transponieren. Klicken Sie auf OK.">
            <a:extLst>
              <a:ext uri="{FF2B5EF4-FFF2-40B4-BE49-F238E27FC236}">
                <a16:creationId xmlns:a16="http://schemas.microsoft.com/office/drawing/2014/main" id="{00000000-0008-0000-0400-00005A000000}"/>
              </a:ext>
            </a:extLst>
          </xdr:cNvPr>
          <xdr:cNvSpPr txBox="1"/>
        </xdr:nvSpPr>
        <xdr:spPr>
          <a:xfrm>
            <a:off x="962633" y="362520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Inhalte einfügen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und dann unten auf das Kontrollkästchen für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Transponieren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Klicken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Ellipse 90" descr="5">
            <a:extLst>
              <a:ext uri="{FF2B5EF4-FFF2-40B4-BE49-F238E27FC236}">
                <a16:creationId xmlns:a16="http://schemas.microsoft.com/office/drawing/2014/main" id="{00000000-0008-0000-0400-00005B000000}"/>
              </a:ext>
            </a:extLst>
          </xdr:cNvPr>
          <xdr:cNvSpPr/>
        </xdr:nvSpPr>
        <xdr:spPr>
          <a:xfrm>
            <a:off x="555599" y="36017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438150</xdr:colOff>
      <xdr:row>34</xdr:row>
      <xdr:rowOff>7321</xdr:rowOff>
    </xdr:to>
    <xdr:grpSp>
      <xdr:nvGrpSpPr>
        <xdr:cNvPr id="10" name="Transponieren von Daten" descr="This data has 6 columns...&#10;...and 2 rows&#10;">
          <a:extLst>
            <a:ext uri="{FF2B5EF4-FFF2-40B4-BE49-F238E27FC236}">
              <a16:creationId xmlns:a16="http://schemas.microsoft.com/office/drawing/2014/main" id="{00000000-0008-0000-0400-00000A000000}"/>
            </a:ext>
          </a:extLst>
        </xdr:cNvPr>
        <xdr:cNvGrpSpPr/>
      </xdr:nvGrpSpPr>
      <xdr:grpSpPr>
        <a:xfrm>
          <a:off x="6564629" y="6107430"/>
          <a:ext cx="5299711" cy="950296"/>
          <a:chOff x="6381749" y="6524625"/>
          <a:chExt cx="5153026" cy="950296"/>
        </a:xfrm>
      </xdr:grpSpPr>
      <xdr:sp macro="" textlink="">
        <xdr:nvSpPr>
          <xdr:cNvPr id="97" name="Schritt" descr="...und 2 Zeilen auf">
            <a:extLst>
              <a:ext uri="{FF2B5EF4-FFF2-40B4-BE49-F238E27FC236}">
                <a16:creationId xmlns:a16="http://schemas.microsoft.com/office/drawing/2014/main" id="{00000000-0008-0000-0400-000061000000}"/>
              </a:ext>
            </a:extLst>
          </xdr:cNvPr>
          <xdr:cNvSpPr txBox="1"/>
        </xdr:nvSpPr>
        <xdr:spPr>
          <a:xfrm>
            <a:off x="10125075" y="7115177"/>
            <a:ext cx="1409700"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...und 2 Zeilen auf.</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98" name="Schritt" descr="Diese Daten weisen 6 Spalten...">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Diese Daten weisen 6 Spalten...</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00" name="Freihandform: Form 99" descr="Klammerlini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1" name="Freihandform: Form 100" descr="Klammerlini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2" name="Bogen 101" descr="Klammerlini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3" name="Bogen 102" descr="Klammerlini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0" name="Freihandform: Form 109" descr="Klammerlini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Freihandform: Form 110" descr="Klammerlini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nieren von Datenauswahl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3644" y="7364730"/>
          <a:ext cx="3125203" cy="1844040"/>
          <a:chOff x="6286499" y="7781925"/>
          <a:chExt cx="2881363" cy="1847850"/>
        </a:xfrm>
      </xdr:grpSpPr>
      <xdr:sp macro="" textlink="">
        <xdr:nvSpPr>
          <xdr:cNvPr id="121" name="Schritt" descr="Wählen Sie diese 2 Spalten...">
            <a:extLst>
              <a:ext uri="{FF2B5EF4-FFF2-40B4-BE49-F238E27FC236}">
                <a16:creationId xmlns:a16="http://schemas.microsoft.com/office/drawing/2014/main" id="{00000000-0008-0000-0400-000079000000}"/>
              </a:ext>
            </a:extLst>
          </xdr:cNvPr>
          <xdr:cNvSpPr txBox="1"/>
        </xdr:nvSpPr>
        <xdr:spPr>
          <a:xfrm>
            <a:off x="6286499" y="7781925"/>
            <a:ext cx="20955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Wählen Sie diese 2 Spalten...</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23" name="Freihandform: Form 122" descr="Klammerlini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4" name="Freihandform: Form 123" descr="Klammerlini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5" name="Bogen 124" descr="Klammerlini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6" name="Bogen 125" descr="Klammerlini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7" name="Schritt" descr="...und diese 6 Zeilen aus, bevor Sie die Formel eingeben">
            <a:extLst>
              <a:ext uri="{FF2B5EF4-FFF2-40B4-BE49-F238E27FC236}">
                <a16:creationId xmlns:a16="http://schemas.microsoft.com/office/drawing/2014/main" id="{00000000-0008-0000-0400-00007F000000}"/>
              </a:ext>
            </a:extLst>
          </xdr:cNvPr>
          <xdr:cNvSpPr txBox="1"/>
        </xdr:nvSpPr>
        <xdr:spPr>
          <a:xfrm>
            <a:off x="7943850" y="8648701"/>
            <a:ext cx="1224012" cy="923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und diese 6 Zeilen aus, </a:t>
            </a:r>
            <a:r>
              <a:rPr lang="de" sz="1100" b="0" i="1"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bevor</a:t>
            </a: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Sie die Formel eingeben.</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32" name="Freihandform: Form 131" descr="Klammerlini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Freihandform: Form 132" descr="Klammerlini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Bogen 133" descr="Klammerlini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5" name="Bogen 134" descr="Klammerlini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400050</xdr:colOff>
      <xdr:row>26</xdr:row>
      <xdr:rowOff>13</xdr:rowOff>
    </xdr:from>
    <xdr:to>
      <xdr:col>1</xdr:col>
      <xdr:colOff>5248275</xdr:colOff>
      <xdr:row>56</xdr:row>
      <xdr:rowOff>104775</xdr:rowOff>
    </xdr:to>
    <xdr:grpSp>
      <xdr:nvGrpSpPr>
        <xdr:cNvPr id="8" name="Transponieren mit einer Formel"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6240" y="5524513"/>
          <a:ext cx="5716905" cy="5817857"/>
          <a:chOff x="390525" y="5943600"/>
          <a:chExt cx="5695950" cy="5886649"/>
        </a:xfrm>
      </xdr:grpSpPr>
      <xdr:sp macro="" textlink="">
        <xdr:nvSpPr>
          <xdr:cNvPr id="141" name="Rechteck 140" descr="Hintergrund">
            <a:extLst>
              <a:ext uri="{FF2B5EF4-FFF2-40B4-BE49-F238E27FC236}">
                <a16:creationId xmlns:a16="http://schemas.microsoft.com/office/drawing/2014/main" id="{00000000-0008-0000-0400-00008D000000}"/>
              </a:ext>
            </a:extLst>
          </xdr:cNvPr>
          <xdr:cNvSpPr/>
        </xdr:nvSpPr>
        <xdr:spPr>
          <a:xfrm>
            <a:off x="390525" y="5943600"/>
            <a:ext cx="5695950" cy="58866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Schritt" descr="Transponieren mit einer Formel">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Transponieren mit einer Formel</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Gerader Verbinder 142" descr="Dekorative Lini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Gerader Verbinder 143" descr="Dekorative Linie">
            <a:extLst>
              <a:ext uri="{FF2B5EF4-FFF2-40B4-BE49-F238E27FC236}">
                <a16:creationId xmlns:a16="http://schemas.microsoft.com/office/drawing/2014/main" id="{00000000-0008-0000-0400-000090000000}"/>
              </a:ext>
            </a:extLst>
          </xdr:cNvPr>
          <xdr:cNvCxnSpPr>
            <a:cxnSpLocks/>
          </xdr:cNvCxnSpPr>
        </xdr:nvCxnSpPr>
        <xdr:spPr>
          <a:xfrm>
            <a:off x="625449" y="1153326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chritt" descr="Manchmal ist Kopieren und Einfügen nicht sinnvoll, wenn Sie transponieren möchten. In diesem Fall können Sie eine Formel verwenden, um Zeilen und Spalten zu transponieren. Das erreichen Sie so:">
            <a:extLst>
              <a:ext uri="{FF2B5EF4-FFF2-40B4-BE49-F238E27FC236}">
                <a16:creationId xmlns:a16="http://schemas.microsoft.com/office/drawing/2014/main" id="{00000000-0008-0000-0400-000091000000}"/>
              </a:ext>
            </a:extLst>
          </xdr:cNvPr>
          <xdr:cNvSpPr txBox="1"/>
        </xdr:nvSpPr>
        <xdr:spPr>
          <a:xfrm>
            <a:off x="619125" y="6652845"/>
            <a:ext cx="5300938" cy="668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Manchmal</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ist Kopieren und Einfügen nicht sinnvoll, wenn Sie transponieren möchten. In diesem Fall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können Sie eine Formel verwenden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Zeilen und Spalten zu transponieren. Das erreichen Sie so: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chritt" descr="Um diese Daten zu transponieren, müssen Sie zuerst einige leere Zellen auswählen. Da die Daten auf der rechten Seite 6 Spalten und 2 Zeilen aufweisen, müssen Sie das Gegenteil auswählen: 2 Spalten und 6 Zeilen. Wählen Sie dazu die gelben Zellen aus.">
            <a:extLst>
              <a:ext uri="{FF2B5EF4-FFF2-40B4-BE49-F238E27FC236}">
                <a16:creationId xmlns:a16="http://schemas.microsoft.com/office/drawing/2014/main" id="{00000000-0008-0000-0400-000092000000}"/>
              </a:ext>
            </a:extLst>
          </xdr:cNvPr>
          <xdr:cNvSpPr txBox="1"/>
        </xdr:nvSpPr>
        <xdr:spPr>
          <a:xfrm>
            <a:off x="1029308" y="7326991"/>
            <a:ext cx="4809516" cy="87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Um diese Daten zu transponieren, müssen Sie zuerst einige leere Zellen auswählen. Da die Daten auf der rechten Seite 6 Spalten und 2 Zeilen aufweisen, müssen Sie das Gegenteil auswählen: 2 Spalten und 6 Zeilen. Wählen Sie dazu die gelben Zellen aus. </a:t>
            </a:r>
          </a:p>
        </xdr:txBody>
      </xdr:sp>
      <xdr:sp macro="" textlink="">
        <xdr:nvSpPr>
          <xdr:cNvPr id="147" name="Ellipse 146" descr="1">
            <a:extLst>
              <a:ext uri="{FF2B5EF4-FFF2-40B4-BE49-F238E27FC236}">
                <a16:creationId xmlns:a16="http://schemas.microsoft.com/office/drawing/2014/main" id="{00000000-0008-0000-0400-000093000000}"/>
              </a:ext>
            </a:extLst>
          </xdr:cNvPr>
          <xdr:cNvSpPr/>
        </xdr:nvSpPr>
        <xdr:spPr>
          <a:xfrm>
            <a:off x="622274" y="7351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48" name="Schritt"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8178348"/>
            <a:ext cx="4809517" cy="66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Das ist ein bisschen schwierig, also geben Sie gut Acht. Während die Zellen</a:t>
            </a:r>
            <a:r>
              <a:rPr lang="de" sz="1100" i="1">
                <a:solidFill>
                  <a:schemeClr val="tx1">
                    <a:lumMod val="75000"/>
                    <a:lumOff val="25000"/>
                  </a:schemeClr>
                </a:solidFill>
                <a:latin typeface="Segoe UI" panose="020B0502040204020203" pitchFamily="34" charset="0"/>
                <a:cs typeface="Segoe UI" panose="020B0502040204020203" pitchFamily="34" charset="0"/>
              </a:rPr>
              <a:t> noch markiert</a:t>
            </a:r>
            <a:r>
              <a:rPr lang="de" sz="1100">
                <a:solidFill>
                  <a:schemeClr val="tx1">
                    <a:lumMod val="75000"/>
                    <a:lumOff val="25000"/>
                  </a:schemeClr>
                </a:solidFill>
                <a:latin typeface="Segoe UI" panose="020B0502040204020203" pitchFamily="34" charset="0"/>
                <a:cs typeface="Segoe UI" panose="020B0502040204020203" pitchFamily="34" charset="0"/>
              </a:rPr>
              <a:t> sind, geben Sie Folgendes ein: </a:t>
            </a:r>
            <a:r>
              <a:rPr lang="de" sz="1100" b="1">
                <a:solidFill>
                  <a:schemeClr val="tx1">
                    <a:lumMod val="75000"/>
                    <a:lumOff val="25000"/>
                  </a:schemeClr>
                </a:solidFill>
                <a:latin typeface="Segoe UI" panose="020B0502040204020203" pitchFamily="34" charset="0"/>
                <a:cs typeface="Segoe UI" panose="020B0502040204020203" pitchFamily="34" charset="0"/>
              </a:rPr>
              <a:t>=MTRANS(C33:H34) </a:t>
            </a:r>
            <a:r>
              <a:rPr lang="de" sz="1100" i="1">
                <a:solidFill>
                  <a:schemeClr val="tx1">
                    <a:lumMod val="75000"/>
                    <a:lumOff val="25000"/>
                  </a:schemeClr>
                </a:solidFill>
                <a:latin typeface="Segoe UI" panose="020B0502040204020203" pitchFamily="34" charset="0"/>
                <a:cs typeface="Segoe UI" panose="020B0502040204020203" pitchFamily="34" charset="0"/>
              </a:rPr>
              <a:t>…aber drücken Sie nicht die EINGABETASTE</a:t>
            </a:r>
            <a:r>
              <a:rPr lang="de"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49" name="Ellipse 148" descr="2">
            <a:extLst>
              <a:ext uri="{FF2B5EF4-FFF2-40B4-BE49-F238E27FC236}">
                <a16:creationId xmlns:a16="http://schemas.microsoft.com/office/drawing/2014/main" id="{00000000-0008-0000-0400-000095000000}"/>
              </a:ext>
            </a:extLst>
          </xdr:cNvPr>
          <xdr:cNvSpPr/>
        </xdr:nvSpPr>
        <xdr:spPr>
          <a:xfrm>
            <a:off x="622274" y="81840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50" name="Schritt" descr="Klicken Sie auf eine andere gelbe Zelle. Sehen Sie sich erneut die Bearbeitungsleiste an. Die Formel ist die gleiche. Warum? Weil es sich um eine Matrixformel handelt.">
            <a:extLst>
              <a:ext uri="{FF2B5EF4-FFF2-40B4-BE49-F238E27FC236}">
                <a16:creationId xmlns:a16="http://schemas.microsoft.com/office/drawing/2014/main" id="{00000000-0008-0000-0400-000096000000}"/>
              </a:ext>
            </a:extLst>
          </xdr:cNvPr>
          <xdr:cNvSpPr txBox="1"/>
        </xdr:nvSpPr>
        <xdr:spPr>
          <a:xfrm>
            <a:off x="1029307" y="10780154"/>
            <a:ext cx="4809517" cy="70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auf eine andere gelbe Zelle. Sehen Sie</a:t>
            </a:r>
            <a:r>
              <a:rPr lang="de" sz="1100" baseline="0">
                <a:solidFill>
                  <a:schemeClr val="tx1">
                    <a:lumMod val="75000"/>
                    <a:lumOff val="25000"/>
                  </a:schemeClr>
                </a:solidFill>
                <a:latin typeface="Segoe UI" panose="020B0502040204020203" pitchFamily="34" charset="0"/>
                <a:cs typeface="Segoe UI" panose="020B0502040204020203" pitchFamily="34" charset="0"/>
              </a:rPr>
              <a:t> sich erneut die Bearbeitungsleiste an. </a:t>
            </a:r>
            <a:r>
              <a:rPr lang="de" sz="1100">
                <a:solidFill>
                  <a:schemeClr val="tx1">
                    <a:lumMod val="75000"/>
                    <a:lumOff val="25000"/>
                  </a:schemeClr>
                </a:solidFill>
                <a:latin typeface="Segoe UI" panose="020B0502040204020203" pitchFamily="34" charset="0"/>
                <a:cs typeface="Segoe UI" panose="020B0502040204020203" pitchFamily="34" charset="0"/>
              </a:rPr>
              <a:t>Die Formel ist die gleiche. Warum? Weil es sich um eine </a:t>
            </a:r>
            <a:r>
              <a:rPr lang="de" sz="1100" b="1">
                <a:solidFill>
                  <a:schemeClr val="tx1">
                    <a:lumMod val="75000"/>
                    <a:lumOff val="25000"/>
                  </a:schemeClr>
                </a:solidFill>
                <a:latin typeface="Segoe UI" panose="020B0502040204020203" pitchFamily="34" charset="0"/>
                <a:cs typeface="Segoe UI" panose="020B0502040204020203" pitchFamily="34" charset="0"/>
              </a:rPr>
              <a:t>Matrixformel</a:t>
            </a:r>
            <a:r>
              <a:rPr lang="de" sz="1100">
                <a:solidFill>
                  <a:schemeClr val="tx1">
                    <a:lumMod val="75000"/>
                    <a:lumOff val="25000"/>
                  </a:schemeClr>
                </a:solidFill>
                <a:latin typeface="Segoe UI" panose="020B0502040204020203" pitchFamily="34" charset="0"/>
                <a:cs typeface="Segoe UI" panose="020B0502040204020203" pitchFamily="34" charset="0"/>
              </a:rPr>
              <a:t> handelt.</a:t>
            </a:r>
          </a:p>
        </xdr:txBody>
      </xdr:sp>
      <xdr:sp macro="" textlink="">
        <xdr:nvSpPr>
          <xdr:cNvPr id="151" name="Ellipse 150" descr="5">
            <a:extLst>
              <a:ext uri="{FF2B5EF4-FFF2-40B4-BE49-F238E27FC236}">
                <a16:creationId xmlns:a16="http://schemas.microsoft.com/office/drawing/2014/main" id="{00000000-0008-0000-0400-000097000000}"/>
              </a:ext>
            </a:extLst>
          </xdr:cNvPr>
          <xdr:cNvSpPr/>
        </xdr:nvSpPr>
        <xdr:spPr>
          <a:xfrm>
            <a:off x="622274" y="10756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sp macro="" textlink="">
        <xdr:nvSpPr>
          <xdr:cNvPr id="152" name="Schritt"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873447"/>
            <a:ext cx="4809517" cy="86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Drücken Sie</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de" sz="1100">
                <a:solidFill>
                  <a:schemeClr val="tx1">
                    <a:lumMod val="75000"/>
                    <a:lumOff val="25000"/>
                  </a:schemeClr>
                </a:solidFill>
                <a:latin typeface="Segoe UI" panose="020B0502040204020203" pitchFamily="34" charset="0"/>
                <a:cs typeface="Segoe UI" panose="020B0502040204020203" pitchFamily="34" charset="0"/>
              </a:rPr>
              <a:t>Wenn als Ergebnis #WERT! angezeigt wird, versuchen Sie es erneut, und beginnen Sie mit Schritt 1. </a:t>
            </a:r>
          </a:p>
        </xdr:txBody>
      </xdr:sp>
      <xdr:sp macro="" textlink="">
        <xdr:nvSpPr>
          <xdr:cNvPr id="153" name="Ellipse 152" descr="3">
            <a:extLst>
              <a:ext uri="{FF2B5EF4-FFF2-40B4-BE49-F238E27FC236}">
                <a16:creationId xmlns:a16="http://schemas.microsoft.com/office/drawing/2014/main" id="{00000000-0008-0000-0400-000099000000}"/>
              </a:ext>
            </a:extLst>
          </xdr:cNvPr>
          <xdr:cNvSpPr/>
        </xdr:nvSpPr>
        <xdr:spPr>
          <a:xfrm>
            <a:off x="622274" y="88405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54" name="Schritt"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698975"/>
            <a:ext cx="4809517" cy="1081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auf eine der gelben Zellen, um nur eine auszuwählen. Sehen Sie sich die Formel oben in Excel an. Sie werden feststellen, dass die Formel so aussieht: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de" sz="1100" b="1">
                <a:solidFill>
                  <a:schemeClr val="tx1">
                    <a:lumMod val="75000"/>
                    <a:lumOff val="25000"/>
                  </a:schemeClr>
                </a:solidFill>
                <a:latin typeface="Segoe UI" panose="020B0502040204020203" pitchFamily="34" charset="0"/>
                <a:cs typeface="Segoe UI" panose="020B0502040204020203" pitchFamily="34" charset="0"/>
              </a:rPr>
              <a:t>{= MTRANS(C33:H34)}</a:t>
            </a:r>
            <a:br>
              <a:rPr lang="en-US" sz="1100">
                <a:solidFill>
                  <a:schemeClr val="tx1">
                    <a:lumMod val="75000"/>
                    <a:lumOff val="25000"/>
                  </a:schemeClr>
                </a:solidFill>
                <a:latin typeface="Segoe UI" panose="020B0502040204020203" pitchFamily="34" charset="0"/>
                <a:cs typeface="Segoe UI" panose="020B0502040204020203" pitchFamily="34" charset="0"/>
              </a:rPr>
            </a:b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5" name="Ellipse 154" descr="4">
            <a:extLst>
              <a:ext uri="{FF2B5EF4-FFF2-40B4-BE49-F238E27FC236}">
                <a16:creationId xmlns:a16="http://schemas.microsoft.com/office/drawing/2014/main" id="{00000000-0008-0000-0400-00009B000000}"/>
              </a:ext>
            </a:extLst>
          </xdr:cNvPr>
          <xdr:cNvSpPr/>
        </xdr:nvSpPr>
        <xdr:spPr>
          <a:xfrm>
            <a:off x="622274" y="96853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38" name="Rechteck: Abgerundete Ecken 137" descr="STRG-Taste">
            <a:extLst>
              <a:ext uri="{FF2B5EF4-FFF2-40B4-BE49-F238E27FC236}">
                <a16:creationId xmlns:a16="http://schemas.microsoft.com/office/drawing/2014/main" id="{00000000-0008-0000-0400-00008A000000}"/>
              </a:ext>
            </a:extLst>
          </xdr:cNvPr>
          <xdr:cNvSpPr/>
        </xdr:nvSpPr>
        <xdr:spPr>
          <a:xfrm>
            <a:off x="1933575" y="8905765"/>
            <a:ext cx="540471"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STRG</a:t>
            </a:r>
          </a:p>
        </xdr:txBody>
      </xdr:sp>
      <xdr:sp macro="" textlink="">
        <xdr:nvSpPr>
          <xdr:cNvPr id="139" name="Rechteck: Abgerundete Ecken 138" descr="UMSCHALT-Taste">
            <a:extLst>
              <a:ext uri="{FF2B5EF4-FFF2-40B4-BE49-F238E27FC236}">
                <a16:creationId xmlns:a16="http://schemas.microsoft.com/office/drawing/2014/main" id="{00000000-0008-0000-0400-00008B000000}"/>
              </a:ext>
            </a:extLst>
          </xdr:cNvPr>
          <xdr:cNvSpPr/>
        </xdr:nvSpPr>
        <xdr:spPr>
          <a:xfrm>
            <a:off x="2559005" y="8905765"/>
            <a:ext cx="86046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UMSCHALT</a:t>
            </a:r>
          </a:p>
        </xdr:txBody>
      </xdr:sp>
      <xdr:sp macro="" textlink="">
        <xdr:nvSpPr>
          <xdr:cNvPr id="140" name="Rechteck: Abgerundete Ecken 139" descr="EINGABETASTE">
            <a:extLst>
              <a:ext uri="{FF2B5EF4-FFF2-40B4-BE49-F238E27FC236}">
                <a16:creationId xmlns:a16="http://schemas.microsoft.com/office/drawing/2014/main" id="{00000000-0008-0000-0400-00008C000000}"/>
              </a:ext>
            </a:extLst>
          </xdr:cNvPr>
          <xdr:cNvSpPr/>
        </xdr:nvSpPr>
        <xdr:spPr>
          <a:xfrm>
            <a:off x="3473676" y="8905765"/>
            <a:ext cx="69827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EINGABE</a:t>
            </a:r>
          </a:p>
        </xdr:txBody>
      </xdr:sp>
    </xdr:grpSp>
    <xdr:clientData/>
  </xdr:twoCellAnchor>
  <xdr:twoCellAnchor editAs="oneCell">
    <xdr:from>
      <xdr:col>0</xdr:col>
      <xdr:colOff>390525</xdr:colOff>
      <xdr:row>57</xdr:row>
      <xdr:rowOff>142874</xdr:rowOff>
    </xdr:from>
    <xdr:to>
      <xdr:col>1</xdr:col>
      <xdr:colOff>5238750</xdr:colOff>
      <xdr:row>75</xdr:row>
      <xdr:rowOff>180975</xdr:rowOff>
    </xdr:to>
    <xdr:grpSp>
      <xdr:nvGrpSpPr>
        <xdr:cNvPr id="157" name="Was ist eine Matrixformel?"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2430" y="11570969"/>
          <a:ext cx="5709285" cy="3467101"/>
          <a:chOff x="0" y="-9524"/>
          <a:chExt cx="5695950" cy="3314589"/>
        </a:xfrm>
      </xdr:grpSpPr>
      <xdr:sp macro="" textlink="">
        <xdr:nvSpPr>
          <xdr:cNvPr id="161" name="Rechteck 160" descr="Hintergrund">
            <a:extLst>
              <a:ext uri="{FF2B5EF4-FFF2-40B4-BE49-F238E27FC236}">
                <a16:creationId xmlns:a16="http://schemas.microsoft.com/office/drawing/2014/main" id="{00000000-0008-0000-0400-0000A1000000}"/>
              </a:ext>
            </a:extLst>
          </xdr:cNvPr>
          <xdr:cNvSpPr/>
        </xdr:nvSpPr>
        <xdr:spPr>
          <a:xfrm>
            <a:off x="0" y="-9524"/>
            <a:ext cx="5695950" cy="331458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2" name="Schritt" descr="Was ist eine Matrixformel?">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Was ist eine Matrixformel?</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Gerader Verbinder 162" descr="Dekorative Lini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Gerader Verbinder 163" descr="Dekorative Linie">
            <a:extLst>
              <a:ext uri="{FF2B5EF4-FFF2-40B4-BE49-F238E27FC236}">
                <a16:creationId xmlns:a16="http://schemas.microsoft.com/office/drawing/2014/main" id="{00000000-0008-0000-0400-0000A4000000}"/>
              </a:ext>
            </a:extLst>
          </xdr:cNvPr>
          <xdr:cNvCxnSpPr>
            <a:cxnSpLocks/>
          </xdr:cNvCxnSpPr>
        </xdr:nvCxnSpPr>
        <xdr:spPr>
          <a:xfrm>
            <a:off x="234924" y="303751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chritt"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29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Eine Matrixformel kann Berechnungen für</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mehrere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Zellen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einer Matrix ausführen. Im Beispiel oben ist die Matrix die ursprüngliche Datenmenge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den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Zellen C33:H34. Die Funktion MTRANS vertauscht dann die horizontale Ausrichtung </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der Zellen in eine vertikale Ausrichtung.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Matrixformeln werden immer mit STRG+UMSCHALT+EINGABE abgeschlossen, nicht einfach mit EINGABE. Durch das Drücken von CTRL+UMSCHALT+EINGABE wird die Funktion für die Matrix berechnet. Wenn Sie fertig sind, setzt Excel die Formel in spezielle Klammern {}. Diese Klammern stellen einen visuellen Hinweis dar, dass es sich bei der ausgewählten Zelle um einen Teil einer Matrixformel handelt. Sie können diese Klammer nicht manuell eingeben. Excel fügt sie ein, wenn Sie STRG+UMSCHALT+EINGABE drücken. </a:t>
            </a:r>
          </a:p>
        </xdr:txBody>
      </xdr:sp>
    </xdr:grpSp>
    <xdr:clientData/>
  </xdr:twoCellAnchor>
  <xdr:twoCellAnchor editAs="oneCell">
    <xdr:from>
      <xdr:col>2</xdr:col>
      <xdr:colOff>31749</xdr:colOff>
      <xdr:row>49</xdr:row>
      <xdr:rowOff>19050</xdr:rowOff>
    </xdr:from>
    <xdr:to>
      <xdr:col>10</xdr:col>
      <xdr:colOff>514349</xdr:colOff>
      <xdr:row>66</xdr:row>
      <xdr:rowOff>38101</xdr:rowOff>
    </xdr:to>
    <xdr:grpSp>
      <xdr:nvGrpSpPr>
        <xdr:cNvPr id="7" name="ZU BEACHTEN..." descr="ZU BEACHTEN...&#10;Es gibt drei Punkte, die Sie beim Arbeiten mit einer Matrixformel beachten müssen: &#10;&#10;1) Wählen Sie immer erst mehrere Zellen aus, und beginnen Sie mit der Eingabe der Matrixformel, während die Zellen ausgewählt sind. Das ist der entscheidende Punkt: Wählen Sie zuerst mehrere Zellen aus, und beginnen Sie dann mit der Eingabe.&#10;&#10;2) Wenn Sie mit der Eingabe einer Matrixformel fertig sind, drücken Sie &#10;STRG+UMSCHALT+EINGABETASTE.&#10;&#10;3) Sobald Sie eine Matrixformel eingegeben haben, können Sie die neue Matrix nicht unterbrechen. Beispielsweise können Sie nicht einfach einer der Zellen überschreiben oder löschen. Ferner können Sie auch keine neue Zeile oder Spalte in die Matrix einfügen.  Wenn Sie diese Möglichkeiten benötigen, wählen Sie alle Zellen aus, die die Matrixformel aufweisen, drücken Sie auf „Löschen“, nehmen Sie dann Ihre Änderungen vor, und erstellen Sie die Formel neu.&#10;">
          <a:extLst>
            <a:ext uri="{FF2B5EF4-FFF2-40B4-BE49-F238E27FC236}">
              <a16:creationId xmlns:a16="http://schemas.microsoft.com/office/drawing/2014/main" id="{00000000-0008-0000-0400-000007000000}"/>
            </a:ext>
          </a:extLst>
        </xdr:cNvPr>
        <xdr:cNvGrpSpPr/>
      </xdr:nvGrpSpPr>
      <xdr:grpSpPr>
        <a:xfrm>
          <a:off x="6583044" y="9921240"/>
          <a:ext cx="5365115" cy="3261361"/>
          <a:chOff x="6403974" y="10344150"/>
          <a:chExt cx="4940389" cy="2948731"/>
        </a:xfrm>
      </xdr:grpSpPr>
      <xdr:sp macro="" textlink="">
        <xdr:nvSpPr>
          <xdr:cNvPr id="176" name="Schritt" descr="ZU BEACHTEN...&#10;Es gibt drei Punkte, die Sie beim Arbeiten mit einer Matrixformel beachten müssen: &#10;&#10;1) Wählen Sie immer erst mehrere Zellen aus, und beginnen Sie mit der Eingabe der Matrixformel, während die Zellen ausgewählt sind. Das ist der entscheidende Punkt: Wählen Sie zuerst mehrere Zellen aus, und beginnen Sie dann mit der Eingabe.&#10;&#10;2) Wenn Sie mit der Eingabe einer Matrixformel fertig sind, drücken Sie &#10;STRG+UMSCHALT+EINGABETASTE.&#10;&#10;3) Sobald Sie eine Matrixformel eingegeben haben, können Sie die neue Matrix nicht unterbrechen. Beispielsweise können Sie nicht einfach einer der Zellen überschreiben oder löschen. Ferner können Sie auch keine neue Zeile oder Spalte in die Matrix einfügen.  Wenn Sie diese Möglichkeiten benötigen, wählen Sie alle Zellen aus, die die Matrixformel aufweisen, drücken Sie auf „Löschen“, nehmen Sie dann Ihre Änderungen vor, und erstellen Sie die Formel neu.&#10;">
            <a:extLst>
              <a:ext uri="{FF2B5EF4-FFF2-40B4-BE49-F238E27FC236}">
                <a16:creationId xmlns:a16="http://schemas.microsoft.com/office/drawing/2014/main" id="{00000000-0008-0000-0400-0000B0000000}"/>
              </a:ext>
            </a:extLst>
          </xdr:cNvPr>
          <xdr:cNvSpPr txBox="1"/>
        </xdr:nvSpPr>
        <xdr:spPr>
          <a:xfrm>
            <a:off x="6705603" y="10344150"/>
            <a:ext cx="4638760" cy="294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ZU BEACHTEN...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Es gibt drei Punkte, die Sie beim Arbeiten mit einer Matrixformel beachten müssen: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de" sz="1100" b="1" kern="0">
                <a:solidFill>
                  <a:schemeClr val="bg2">
                    <a:lumMod val="25000"/>
                  </a:schemeClr>
                </a:solidFill>
                <a:ea typeface="Segoe UI" pitchFamily="34" charset="0"/>
                <a:cs typeface="Segoe UI Light" panose="020B0502040204020203" pitchFamily="34" charset="0"/>
              </a:rPr>
              <a:t>1)</a:t>
            </a:r>
            <a:r>
              <a:rPr lang="de" sz="1100" kern="0">
                <a:solidFill>
                  <a:schemeClr val="bg2">
                    <a:lumMod val="25000"/>
                  </a:schemeClr>
                </a:solidFill>
                <a:ea typeface="Segoe UI" pitchFamily="34" charset="0"/>
                <a:cs typeface="Segoe UI Light" panose="020B0502040204020203" pitchFamily="34" charset="0"/>
              </a:rPr>
              <a:t> Wählen Sie immer erst mehrere Zellen aus, und beginnen Sie mit der Eingabe der Matrixformel, während die Zellen ausgewählt sind. Das ist der entscheidende Punkt: Wählen Sie zuerst mehrere Zellen aus, und beginnen Sie dann mit der Eingabe.</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de" sz="1100" b="1" kern="0">
                <a:solidFill>
                  <a:schemeClr val="bg2">
                    <a:lumMod val="25000"/>
                  </a:schemeClr>
                </a:solidFill>
                <a:ea typeface="Segoe UI" pitchFamily="34" charset="0"/>
                <a:cs typeface="Segoe UI Light" panose="020B0502040204020203" pitchFamily="34" charset="0"/>
              </a:rPr>
              <a:t>2)</a:t>
            </a:r>
            <a:r>
              <a:rPr lang="de" sz="1100" kern="0">
                <a:solidFill>
                  <a:schemeClr val="bg2">
                    <a:lumMod val="25000"/>
                  </a:schemeClr>
                </a:solidFill>
                <a:ea typeface="Segoe UI" pitchFamily="34" charset="0"/>
                <a:cs typeface="Segoe UI Light" panose="020B0502040204020203" pitchFamily="34" charset="0"/>
              </a:rPr>
              <a:t> Wenn Sie mit der Eingabe einer Matrixformel fertig sind, drücken Sie </a:t>
            </a:r>
            <a:br>
              <a:rPr lang="en-US" sz="1100" kern="0">
                <a:solidFill>
                  <a:schemeClr val="bg2">
                    <a:lumMod val="25000"/>
                  </a:schemeClr>
                </a:solidFill>
                <a:ea typeface="Segoe UI" pitchFamily="34" charset="0"/>
                <a:cs typeface="Segoe UI Light" panose="020B0502040204020203" pitchFamily="34" charset="0"/>
              </a:rPr>
            </a:br>
            <a:r>
              <a:rPr lang="de" sz="1100" kern="0">
                <a:solidFill>
                  <a:schemeClr val="bg2">
                    <a:lumMod val="25000"/>
                  </a:schemeClr>
                </a:solidFill>
                <a:ea typeface="Segoe UI" pitchFamily="34" charset="0"/>
                <a:cs typeface="Segoe UI Light" panose="020B0502040204020203" pitchFamily="34" charset="0"/>
              </a:rPr>
              <a:t>STRG+UMSCHALT+EINGABETASTE.</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de" sz="1100" b="1" kern="0">
                <a:solidFill>
                  <a:schemeClr val="bg2">
                    <a:lumMod val="25000"/>
                  </a:schemeClr>
                </a:solidFill>
                <a:ea typeface="Segoe UI" pitchFamily="34" charset="0"/>
                <a:cs typeface="Segoe UI Light" panose="020B0502040204020203" pitchFamily="34" charset="0"/>
              </a:rPr>
              <a:t>3)</a:t>
            </a:r>
            <a:r>
              <a:rPr lang="de" sz="1100" kern="0">
                <a:solidFill>
                  <a:schemeClr val="bg2">
                    <a:lumMod val="25000"/>
                  </a:schemeClr>
                </a:solidFill>
                <a:ea typeface="Segoe UI" pitchFamily="34" charset="0"/>
                <a:cs typeface="Segoe UI Light" panose="020B0502040204020203" pitchFamily="34" charset="0"/>
              </a:rPr>
              <a:t> Sobald Sie eine Matrixformel eingegeben haben, können Sie die neue Matrix nicht unterbrechen. Beispielsweise können Sie nicht einfach einer der Zellen überschreiben oder löschen. Ferner können Sie auch keine neue Zeile oder Spalte in die Matrix einfügen.  Wenn Sie diese Möglichkeiten benötigen, wählen Sie alle Zellen aus, die die Matrixformel aufweisen, drücken Sie auf „Löschen“, nehmen Sie dann Ihre Änderungen vor, und erstellen Sie die Formel neu.</a:t>
            </a:r>
          </a:p>
        </xdr:txBody>
      </xdr:sp>
      <xdr:pic>
        <xdr:nvPicPr>
          <xdr:cNvPr id="177" name="Grafik 131" descr="Kopf mit Zahnrädern">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66675</xdr:rowOff>
    </xdr:from>
    <xdr:to>
      <xdr:col>8</xdr:col>
      <xdr:colOff>266699</xdr:colOff>
      <xdr:row>71</xdr:row>
      <xdr:rowOff>62277</xdr:rowOff>
    </xdr:to>
    <xdr:grpSp>
      <xdr:nvGrpSpPr>
        <xdr:cNvPr id="6" name="EXCEL-JARGON" descr="EXCEL-JARGON: Da für Matrixformeln STRG+UMSCHALT+EINGABE erforderlich ist, werden sie von einigen Benutzern informell auch &quot;SUE-Formeln&quot; genannt.">
          <a:extLst>
            <a:ext uri="{FF2B5EF4-FFF2-40B4-BE49-F238E27FC236}">
              <a16:creationId xmlns:a16="http://schemas.microsoft.com/office/drawing/2014/main" id="{00000000-0008-0000-0400-000006000000}"/>
            </a:ext>
          </a:extLst>
        </xdr:cNvPr>
        <xdr:cNvGrpSpPr/>
      </xdr:nvGrpSpPr>
      <xdr:grpSpPr>
        <a:xfrm>
          <a:off x="6629400" y="13209270"/>
          <a:ext cx="3848099" cy="946197"/>
          <a:chOff x="6448425" y="13201650"/>
          <a:chExt cx="3733799" cy="948102"/>
        </a:xfrm>
      </xdr:grpSpPr>
      <xdr:pic>
        <xdr:nvPicPr>
          <xdr:cNvPr id="188" name="Grafik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rechblase: Ellipse 188" descr="Zitat">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p>
        </xdr:txBody>
      </xdr:sp>
      <xdr:sp macro="" textlink="">
        <xdr:nvSpPr>
          <xdr:cNvPr id="187" name="Schritt" descr="EXCEL-JARGON&#10;Da für Matrixformeln STRG+UMSCHALT+EINGABE erforderlich ist, werden sie von einigen Benutzern Matrixformeln informell auch &quot;SUE-Formeln&quot; genannt.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EXCEL-JARGON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Da für Matrixformeln STRG+UMSCHALT+EINGABE erforderlich ist, werden sie von einigen Benutzern Matrixformeln informell auch "SUE-Formeln" genannt. </a:t>
            </a:r>
          </a:p>
        </xdr:txBody>
      </xdr:sp>
    </xdr:grpSp>
    <xdr:clientData/>
  </xdr:twoCellAnchor>
  <xdr:twoCellAnchor editAs="oneCell">
    <xdr:from>
      <xdr:col>0</xdr:col>
      <xdr:colOff>390525</xdr:colOff>
      <xdr:row>77</xdr:row>
      <xdr:rowOff>19050</xdr:rowOff>
    </xdr:from>
    <xdr:to>
      <xdr:col>1</xdr:col>
      <xdr:colOff>5248275</xdr:colOff>
      <xdr:row>94</xdr:row>
      <xdr:rowOff>19050</xdr:rowOff>
    </xdr:to>
    <xdr:grpSp>
      <xdr:nvGrpSpPr>
        <xdr:cNvPr id="5" name="Mehr im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2430" y="15255240"/>
          <a:ext cx="5720715" cy="3238500"/>
          <a:chOff x="390525" y="14468475"/>
          <a:chExt cx="5705475" cy="3267075"/>
        </a:xfrm>
      </xdr:grpSpPr>
      <xdr:sp macro="" textlink="">
        <xdr:nvSpPr>
          <xdr:cNvPr id="191" name="Rechteck 190" descr="Hintergr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2" name="Schritt" descr="Weitere Informationen im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Gerader Verbinder 192" descr="Dekorative Lini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Schaltfläche &quot;Weiter&quot;" descr="Zurück zum Anfang, mit Link zur Zelle A1">
            <a:hlinkClick xmlns:r="http://schemas.openxmlformats.org/officeDocument/2006/relationships" r:id="rId7" tooltip="Auswählen, um zur Zelle A1 auf diesem Arbeitsblatt zu gelangen"/>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95" name="Gerader Verbinder 194" descr="Dekorative Lini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400-0000C4000000}"/>
              </a:ext>
            </a:extLst>
          </xdr:cNvPr>
          <xdr:cNvSpPr/>
        </xdr:nvSpPr>
        <xdr:spPr>
          <a:xfrm>
            <a:off x="4362450" y="17161752"/>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97" name="Schritt" descr="Transponieren (Vertauschen) von Daten aus Zeilen in Spalten oder umgekehrt, mit Link ins Web">
            <a:hlinkClick xmlns:r="http://schemas.openxmlformats.org/officeDocument/2006/relationships" r:id="rId8" tooltip="Auswählen, um Informationen aus dem Web über das Transponieren (Vertauschen) von Daten aus Zeilen in Spalten bzw. umgekehrt anzuzeigen"/>
            <a:extLst>
              <a:ext uri="{FF2B5EF4-FFF2-40B4-BE49-F238E27FC236}">
                <a16:creationId xmlns:a16="http://schemas.microsoft.com/office/drawing/2014/main" id="{00000000-0008-0000-0400-0000C5000000}"/>
              </a:ext>
            </a:extLst>
          </xdr:cNvPr>
          <xdr:cNvSpPr txBox="1"/>
        </xdr:nvSpPr>
        <xdr:spPr>
          <a:xfrm>
            <a:off x="1029308" y="15263324"/>
            <a:ext cx="50666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Transponieren (Vertauschen) von Daten aus Spalten in Zeilen oder umgekehrt</a:t>
            </a:r>
          </a:p>
          <a:p>
            <a:pPr lvl="0" rtl="0">
              <a:defRPr/>
            </a:pPr>
            <a:endParaRPr lang="de" sz="1100" u="sng"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8"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chritt" descr="Alles über die MTRANS-Funktion, mit Link ins Web">
            <a:hlinkClick xmlns:r="http://schemas.openxmlformats.org/officeDocument/2006/relationships" r:id="rId11" tooltip="Auswählen, um alles über die MTRANS-Funktion aus dem Web zu erfahren"/>
            <a:extLst>
              <a:ext uri="{FF2B5EF4-FFF2-40B4-BE49-F238E27FC236}">
                <a16:creationId xmlns:a16="http://schemas.microsoft.com/office/drawing/2014/main" id="{00000000-0008-0000-0400-0000C7000000}"/>
              </a:ext>
            </a:extLst>
          </xdr:cNvPr>
          <xdr:cNvSpPr txBox="1"/>
        </xdr:nvSpPr>
        <xdr:spPr>
          <a:xfrm>
            <a:off x="1029307" y="15727931"/>
            <a:ext cx="39332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Umfassende Informationen zur Funktion MTRANS</a:t>
            </a:r>
          </a:p>
        </xdr:txBody>
      </xdr:sp>
      <xdr:pic>
        <xdr:nvPicPr>
          <xdr:cNvPr id="200" name="Grafik 22" descr="Pfeil">
            <a:hlinkClick xmlns:r="http://schemas.openxmlformats.org/officeDocument/2006/relationships" r:id="rId11" tooltip="Auswählen, um weitere Informationen aus dem Web anzuzeigen"/>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chritt" descr="Erstellen einer Matrixformel, mit Link ins Web">
            <a:hlinkClick xmlns:r="http://schemas.openxmlformats.org/officeDocument/2006/relationships" r:id="rId12" tooltip="Auswählen, um Informationen zum Erstellen einer Matrixformel aus dem Web anzuzeigen"/>
            <a:extLst>
              <a:ext uri="{FF2B5EF4-FFF2-40B4-BE49-F238E27FC236}">
                <a16:creationId xmlns:a16="http://schemas.microsoft.com/office/drawing/2014/main" id="{00000000-0008-0000-0400-0000C9000000}"/>
              </a:ext>
            </a:extLst>
          </xdr:cNvPr>
          <xdr:cNvSpPr txBox="1"/>
        </xdr:nvSpPr>
        <xdr:spPr>
          <a:xfrm>
            <a:off x="1029308" y="16195097"/>
            <a:ext cx="30854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Erstellen einer Matrixformel (Arrayformel)</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2"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4133850</xdr:colOff>
      <xdr:row>12</xdr:row>
      <xdr:rowOff>122441</xdr:rowOff>
    </xdr:from>
    <xdr:to>
      <xdr:col>1</xdr:col>
      <xdr:colOff>4678823</xdr:colOff>
      <xdr:row>15</xdr:row>
      <xdr:rowOff>39466</xdr:rowOff>
    </xdr:to>
    <xdr:grpSp>
      <xdr:nvGrpSpPr>
        <xdr:cNvPr id="3" name="Schaltfläche &quot;Einfügen&quot;" descr="Schaltfläche &quot;Einfügen&quot; und Pfeil">
          <a:extLst>
            <a:ext uri="{FF2B5EF4-FFF2-40B4-BE49-F238E27FC236}">
              <a16:creationId xmlns:a16="http://schemas.microsoft.com/office/drawing/2014/main" id="{00000000-0008-0000-0400-000003000000}"/>
            </a:ext>
          </a:extLst>
        </xdr:cNvPr>
        <xdr:cNvGrpSpPr/>
      </xdr:nvGrpSpPr>
      <xdr:grpSpPr>
        <a:xfrm>
          <a:off x="4996815" y="2981846"/>
          <a:ext cx="546878" cy="486620"/>
          <a:chOff x="4838700" y="2417966"/>
          <a:chExt cx="544973" cy="488525"/>
        </a:xfrm>
      </xdr:grpSpPr>
      <xdr:pic>
        <xdr:nvPicPr>
          <xdr:cNvPr id="2" name="Bild 1" descr="Schaltfläche &quot;Einfügen&quot;">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417966"/>
            <a:ext cx="409524" cy="478934"/>
          </a:xfrm>
          <a:prstGeom prst="rect">
            <a:avLst/>
          </a:prstGeom>
          <a:ln>
            <a:solidFill>
              <a:schemeClr val="bg1">
                <a:lumMod val="75000"/>
              </a:schemeClr>
            </a:solidFill>
          </a:ln>
        </xdr:spPr>
      </xdr:pic>
      <xdr:sp macro="" textlink="">
        <xdr:nvSpPr>
          <xdr:cNvPr id="104" name="Bogen 103" descr="Pfeil">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5</xdr:col>
      <xdr:colOff>304800</xdr:colOff>
      <xdr:row>7</xdr:row>
      <xdr:rowOff>142875</xdr:rowOff>
    </xdr:from>
    <xdr:to>
      <xdr:col>9</xdr:col>
      <xdr:colOff>304800</xdr:colOff>
      <xdr:row>12</xdr:row>
      <xdr:rowOff>138477</xdr:rowOff>
    </xdr:to>
    <xdr:grpSp>
      <xdr:nvGrpSpPr>
        <xdr:cNvPr id="4" name="EXPERTENTIPP" descr="EXPERTENTIPP: Die Tastenkombination für &quot;Inhalte einfügen&quot; ist STRG+ALT+V.">
          <a:extLst>
            <a:ext uri="{FF2B5EF4-FFF2-40B4-BE49-F238E27FC236}">
              <a16:creationId xmlns:a16="http://schemas.microsoft.com/office/drawing/2014/main" id="{00000000-0008-0000-0400-000004000000}"/>
            </a:ext>
          </a:extLst>
        </xdr:cNvPr>
        <xdr:cNvGrpSpPr/>
      </xdr:nvGrpSpPr>
      <xdr:grpSpPr>
        <a:xfrm>
          <a:off x="8686800" y="2045970"/>
          <a:ext cx="2438400" cy="946197"/>
          <a:chOff x="8448675" y="2143125"/>
          <a:chExt cx="2362200" cy="948102"/>
        </a:xfrm>
      </xdr:grpSpPr>
      <xdr:pic>
        <xdr:nvPicPr>
          <xdr:cNvPr id="107" name="Grafik 2" descr="Eule">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chritt" descr="EXPERTENTIPP&#10;Die Tastenkombination für &quot;Inhalte einfügen&quot; ist STRG+ALT+V. &#10;">
            <a:extLst>
              <a:ext uri="{FF2B5EF4-FFF2-40B4-BE49-F238E27FC236}">
                <a16:creationId xmlns:a16="http://schemas.microsoft.com/office/drawing/2014/main" id="{00000000-0008-0000-0400-00006C000000}"/>
              </a:ext>
            </a:extLst>
          </xdr:cNvPr>
          <xdr:cNvSpPr txBox="1"/>
        </xdr:nvSpPr>
        <xdr:spPr>
          <a:xfrm>
            <a:off x="8782052" y="2143125"/>
            <a:ext cx="202882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EXPERTENTIPP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Die Tastenkombination für "Inhalte einfügen" ist STRG+ALT+V.</a:t>
            </a:r>
            <a:r>
              <a:rPr lang="de"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6</xdr:col>
      <xdr:colOff>247649</xdr:colOff>
      <xdr:row>23</xdr:row>
      <xdr:rowOff>142876</xdr:rowOff>
    </xdr:to>
    <xdr:grpSp>
      <xdr:nvGrpSpPr>
        <xdr:cNvPr id="6" name="BONUSAUFGABE" descr="BONUSAUFGABE: Wenn Sie mit Schritt 5 fertig sind, versuchen Sie, nach zwei Spalten alphabetisch zu sortieren. Und so geht's: Sortieren Sie zuerst Abteilung alphabetisch (das ist Schritt 1 auf der linken Seite). Klicken Sie dann auf &quot;Start&quot; &gt; &quot;Sortieren und Filtern&quot; &gt; &quot;Benutzerdefiniertes Sortieren&quot;. Fügen Sie für &quot;Kategorie&quot; eine zweite Ebene hinzu. Nachdem Sie auf &quot;OK&quot; geklickt haben, wird die Abteilung sortiert, und innerhalb jeder Abteilung werden die Kategoriezeilen ebenfalls in alphabetischer Reihenfolge sortiert.">
          <a:extLst>
            <a:ext uri="{FF2B5EF4-FFF2-40B4-BE49-F238E27FC236}">
              <a16:creationId xmlns:a16="http://schemas.microsoft.com/office/drawing/2014/main" id="{00000000-0008-0000-0500-000006000000}"/>
            </a:ext>
          </a:extLst>
        </xdr:cNvPr>
        <xdr:cNvGrpSpPr/>
      </xdr:nvGrpSpPr>
      <xdr:grpSpPr>
        <a:xfrm>
          <a:off x="6553200" y="3238500"/>
          <a:ext cx="4051934" cy="1855471"/>
          <a:chOff x="7248525" y="3467099"/>
          <a:chExt cx="3943349" cy="1619540"/>
        </a:xfrm>
      </xdr:grpSpPr>
      <xdr:sp macro="" textlink="">
        <xdr:nvSpPr>
          <xdr:cNvPr id="40" name="Schritt" descr="BONUSAUFGABE&#10;Wenn Sie mit Schritt 5 fertig sind, versuchen Sie, nach zwei Spalten alphabetisch zu sortieren. Und so geht's: Sortieren Sie zuerst Abteilung alphabetisch (das ist Schritt 1 auf der linken Seite). Klicken Sie dann auf Start &gt; Sortieren und Filtern &gt; Benutzerdefiniertes Sortieren. Fügen Sie für Kategorie eine zweite Ebene hinzu. Nachdem Sie auf „OK“ geklickt haben, wird die Abteilung sortiert, und innerhalb jeder Abteilung werden die Kategoriezeilen ebenfalls in alphabetischer Reihenfolge sortiert. &#10;">
            <a:extLst>
              <a:ext uri="{FF2B5EF4-FFF2-40B4-BE49-F238E27FC236}">
                <a16:creationId xmlns:a16="http://schemas.microsoft.com/office/drawing/2014/main" id="{00000000-0008-0000-0500-000028000000}"/>
              </a:ext>
            </a:extLst>
          </xdr:cNvPr>
          <xdr:cNvSpPr txBox="1"/>
        </xdr:nvSpPr>
        <xdr:spPr>
          <a:xfrm>
            <a:off x="7608105" y="3467099"/>
            <a:ext cx="3583769" cy="161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BONUSAUFGABE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Wenn Sie mit Schritt 5</a:t>
            </a:r>
            <a:r>
              <a:rPr lang="de" sz="1100" kern="0" baseline="0">
                <a:solidFill>
                  <a:schemeClr val="bg2">
                    <a:lumMod val="25000"/>
                  </a:schemeClr>
                </a:solidFill>
                <a:ea typeface="Segoe UI" pitchFamily="34" charset="0"/>
                <a:cs typeface="Segoe UI Light" panose="020B0502040204020203" pitchFamily="34" charset="0"/>
              </a:rPr>
              <a:t> fertig sind, versuchen Sie, nach zwei Spalten alphabetisch zu sortieren. Und so geht's: Sortieren Sie zuerst </a:t>
            </a:r>
            <a:r>
              <a:rPr lang="de" sz="1100" b="1" kern="0" baseline="0">
                <a:solidFill>
                  <a:schemeClr val="bg2">
                    <a:lumMod val="25000"/>
                  </a:schemeClr>
                </a:solidFill>
                <a:ea typeface="Segoe UI" pitchFamily="34" charset="0"/>
                <a:cs typeface="Segoe UI Light" panose="020B0502040204020203" pitchFamily="34" charset="0"/>
              </a:rPr>
              <a:t>Abteilung</a:t>
            </a:r>
            <a:r>
              <a:rPr lang="de" sz="1100" kern="0" baseline="0">
                <a:solidFill>
                  <a:schemeClr val="bg2">
                    <a:lumMod val="25000"/>
                  </a:schemeClr>
                </a:solidFill>
                <a:ea typeface="Segoe UI" pitchFamily="34" charset="0"/>
                <a:cs typeface="Segoe UI Light" panose="020B0502040204020203" pitchFamily="34" charset="0"/>
              </a:rPr>
              <a:t> alphabetisch (das ist Schritt 1 auf der linken Seite). Klicken Sie dann auf </a:t>
            </a:r>
            <a:r>
              <a:rPr lang="de" sz="1100" b="1" kern="0" baseline="0">
                <a:solidFill>
                  <a:schemeClr val="bg2">
                    <a:lumMod val="25000"/>
                  </a:schemeClr>
                </a:solidFill>
                <a:ea typeface="Segoe UI" pitchFamily="34" charset="0"/>
                <a:cs typeface="Segoe UI Light" panose="020B0502040204020203" pitchFamily="34" charset="0"/>
              </a:rPr>
              <a:t>Start</a:t>
            </a:r>
            <a:r>
              <a:rPr lang="de" sz="1100" kern="0" baseline="0">
                <a:solidFill>
                  <a:schemeClr val="bg2">
                    <a:lumMod val="25000"/>
                  </a:schemeClr>
                </a:solidFill>
                <a:ea typeface="Segoe UI" pitchFamily="34" charset="0"/>
                <a:cs typeface="Segoe UI Light" panose="020B0502040204020203" pitchFamily="34" charset="0"/>
              </a:rPr>
              <a:t> </a:t>
            </a:r>
            <a:r>
              <a:rPr lang="de" sz="1100" b="0" kern="0" baseline="0">
                <a:solidFill>
                  <a:schemeClr val="bg2">
                    <a:lumMod val="25000"/>
                  </a:schemeClr>
                </a:solidFill>
                <a:ea typeface="Segoe UI" pitchFamily="34" charset="0"/>
                <a:cs typeface="Segoe UI Light" panose="020B0502040204020203" pitchFamily="34" charset="0"/>
              </a:rPr>
              <a:t>&gt;</a:t>
            </a:r>
            <a:r>
              <a:rPr lang="de" sz="1100" b="1" kern="0" baseline="0">
                <a:solidFill>
                  <a:schemeClr val="bg2">
                    <a:lumMod val="25000"/>
                  </a:schemeClr>
                </a:solidFill>
                <a:ea typeface="Segoe UI" pitchFamily="34" charset="0"/>
                <a:cs typeface="Segoe UI Light" panose="020B0502040204020203" pitchFamily="34" charset="0"/>
              </a:rPr>
              <a:t> Sortieren und Filtern </a:t>
            </a:r>
            <a:r>
              <a:rPr lang="de" sz="1100" kern="0" baseline="0">
                <a:solidFill>
                  <a:schemeClr val="bg2">
                    <a:lumMod val="25000"/>
                  </a:schemeClr>
                </a:solidFill>
                <a:ea typeface="Segoe UI" pitchFamily="34" charset="0"/>
                <a:cs typeface="Segoe UI Light" panose="020B0502040204020203" pitchFamily="34" charset="0"/>
              </a:rPr>
              <a:t>&gt; </a:t>
            </a:r>
            <a:r>
              <a:rPr lang="de" sz="1100" b="1" kern="0" baseline="0">
                <a:solidFill>
                  <a:schemeClr val="bg2">
                    <a:lumMod val="25000"/>
                  </a:schemeClr>
                </a:solidFill>
                <a:ea typeface="Segoe UI" pitchFamily="34" charset="0"/>
                <a:cs typeface="Segoe UI Light" panose="020B0502040204020203" pitchFamily="34" charset="0"/>
              </a:rPr>
              <a:t>Benutzerdefiniertes Sortieren</a:t>
            </a:r>
            <a:r>
              <a:rPr lang="de" sz="1100" kern="0" baseline="0">
                <a:solidFill>
                  <a:schemeClr val="bg2">
                    <a:lumMod val="25000"/>
                  </a:schemeClr>
                </a:solidFill>
                <a:ea typeface="Segoe UI" pitchFamily="34" charset="0"/>
                <a:cs typeface="Segoe UI Light" panose="020B0502040204020203" pitchFamily="34" charset="0"/>
              </a:rPr>
              <a:t>. Fügen Sie für </a:t>
            </a:r>
            <a:r>
              <a:rPr lang="de" sz="1100" b="1" kern="0" baseline="0">
                <a:solidFill>
                  <a:schemeClr val="bg2">
                    <a:lumMod val="25000"/>
                  </a:schemeClr>
                </a:solidFill>
                <a:ea typeface="Segoe UI" pitchFamily="34" charset="0"/>
                <a:cs typeface="Segoe UI Light" panose="020B0502040204020203" pitchFamily="34" charset="0"/>
              </a:rPr>
              <a:t>Kategorie</a:t>
            </a:r>
            <a:r>
              <a:rPr lang="de" sz="1100" kern="0" baseline="0">
                <a:solidFill>
                  <a:schemeClr val="bg2">
                    <a:lumMod val="25000"/>
                  </a:schemeClr>
                </a:solidFill>
                <a:ea typeface="Segoe UI" pitchFamily="34" charset="0"/>
                <a:cs typeface="Segoe UI Light" panose="020B0502040204020203" pitchFamily="34" charset="0"/>
              </a:rPr>
              <a:t> eine zweite Ebene hinzu. Nachdem Sie auf „OK“ geklickt haben, wird die </a:t>
            </a:r>
            <a:r>
              <a:rPr lang="de" sz="1100" b="1" kern="0" baseline="0">
                <a:solidFill>
                  <a:schemeClr val="bg2">
                    <a:lumMod val="25000"/>
                  </a:schemeClr>
                </a:solidFill>
                <a:ea typeface="Segoe UI" pitchFamily="34" charset="0"/>
                <a:cs typeface="Segoe UI Light" panose="020B0502040204020203" pitchFamily="34" charset="0"/>
              </a:rPr>
              <a:t>Abteilung</a:t>
            </a:r>
            <a:r>
              <a:rPr lang="de" sz="1100" kern="0" baseline="0">
                <a:solidFill>
                  <a:schemeClr val="bg2">
                    <a:lumMod val="25000"/>
                  </a:schemeClr>
                </a:solidFill>
                <a:ea typeface="Segoe UI" pitchFamily="34" charset="0"/>
                <a:cs typeface="Segoe UI Light" panose="020B0502040204020203" pitchFamily="34" charset="0"/>
              </a:rPr>
              <a:t> sortiert, und innerhalb jeder Abteilung werden die </a:t>
            </a:r>
            <a:r>
              <a:rPr lang="de" sz="1100" b="1" kern="0" baseline="0">
                <a:solidFill>
                  <a:schemeClr val="bg2">
                    <a:lumMod val="25000"/>
                  </a:schemeClr>
                </a:solidFill>
                <a:ea typeface="Segoe UI" pitchFamily="34" charset="0"/>
                <a:cs typeface="Segoe UI Light" panose="020B0502040204020203" pitchFamily="34" charset="0"/>
              </a:rPr>
              <a:t>Kategorie</a:t>
            </a:r>
            <a:r>
              <a:rPr lang="de" sz="1100" kern="0" baseline="0">
                <a:solidFill>
                  <a:schemeClr val="bg2">
                    <a:lumMod val="25000"/>
                  </a:schemeClr>
                </a:solidFill>
                <a:ea typeface="Segoe UI" pitchFamily="34" charset="0"/>
                <a:cs typeface="Segoe UI Light" panose="020B0502040204020203" pitchFamily="34" charset="0"/>
              </a:rPr>
              <a:t>zeilen ebenfalls in alphabetischer Reihenfolge sortiert.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fik 263" descr="Menüband">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382710"/>
          </a:xfrm>
          <a:prstGeom prst="rect">
            <a:avLst/>
          </a:prstGeom>
        </xdr:spPr>
      </xdr:pic>
    </xdr:grpSp>
    <xdr:clientData/>
  </xdr:twoCellAnchor>
  <xdr:twoCellAnchor editAs="oneCell">
    <xdr:from>
      <xdr:col>0</xdr:col>
      <xdr:colOff>381000</xdr:colOff>
      <xdr:row>0</xdr:row>
      <xdr:rowOff>266700</xdr:rowOff>
    </xdr:from>
    <xdr:to>
      <xdr:col>1</xdr:col>
      <xdr:colOff>5229225</xdr:colOff>
      <xdr:row>25</xdr:row>
      <xdr:rowOff>180975</xdr:rowOff>
    </xdr:to>
    <xdr:grpSp>
      <xdr:nvGrpSpPr>
        <xdr:cNvPr id="5" name="Mühelos sortieren und filtern"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81000" y="266700"/>
          <a:ext cx="5716905" cy="5246370"/>
          <a:chOff x="333375" y="266700"/>
          <a:chExt cx="5695950" cy="5248275"/>
        </a:xfrm>
      </xdr:grpSpPr>
      <xdr:sp macro="" textlink="">
        <xdr:nvSpPr>
          <xdr:cNvPr id="78" name="Rechteck 77" descr="Hintergrund">
            <a:extLst>
              <a:ext uri="{FF2B5EF4-FFF2-40B4-BE49-F238E27FC236}">
                <a16:creationId xmlns:a16="http://schemas.microsoft.com/office/drawing/2014/main" id="{00000000-0008-0000-0500-00004E000000}"/>
              </a:ext>
            </a:extLst>
          </xdr:cNvPr>
          <xdr:cNvSpPr/>
        </xdr:nvSpPr>
        <xdr:spPr>
          <a:xfrm>
            <a:off x="333375" y="266700"/>
            <a:ext cx="5695950" cy="52482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Schritt" descr="Mühelos sortieren und filtern">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Mühelos sortieren und filtern</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Gerader Verbinder 79" descr="Dekorative Lini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Schaltfläche &quot;Weiter&quot;" descr="Mehr Details erfahren">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7664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82" name="Gerader Verbinder 81" descr="Dekorative Linie">
            <a:extLst>
              <a:ext uri="{FF2B5EF4-FFF2-40B4-BE49-F238E27FC236}">
                <a16:creationId xmlns:a16="http://schemas.microsoft.com/office/drawing/2014/main" id="{00000000-0008-0000-0500-000052000000}"/>
              </a:ext>
            </a:extLst>
          </xdr:cNvPr>
          <xdr:cNvCxnSpPr>
            <a:cxnSpLocks/>
          </xdr:cNvCxnSpPr>
        </xdr:nvCxnSpPr>
        <xdr:spPr>
          <a:xfrm>
            <a:off x="568299" y="4505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500-000053000000}"/>
              </a:ext>
            </a:extLst>
          </xdr:cNvPr>
          <xdr:cNvSpPr/>
        </xdr:nvSpPr>
        <xdr:spPr>
          <a:xfrm>
            <a:off x="4305300" y="4766432"/>
            <a:ext cx="1476375"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84" name="Schritt" descr="Einmal angenommen, Sie möchten die Abteilungen in alphabetischer Reihenfolge anzeigen. Klicken Sie auf die Spalte &quot;Abteilung&quot;, und klicken Sie dann auf &quot;Start&quot; &gt; &quot;Sortieren und Filtern&quot; &gt; &quot;Von A bis Z sortieren&quot;.">
            <a:extLst>
              <a:ext uri="{FF2B5EF4-FFF2-40B4-BE49-F238E27FC236}">
                <a16:creationId xmlns:a16="http://schemas.microsoft.com/office/drawing/2014/main" id="{00000000-0008-0000-0500-000054000000}"/>
              </a:ext>
            </a:extLst>
          </xdr:cNvPr>
          <xdr:cNvSpPr txBox="1"/>
        </xdr:nvSpPr>
        <xdr:spPr>
          <a:xfrm>
            <a:off x="972158" y="1033351"/>
            <a:ext cx="4809516" cy="67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Einmal angenommen, Sie möchten die Abteilungen in alphabetischer Reihenfolge anzeigen. Klicken Sie auf die Spalte „Abteilung“ und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Start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Sortieren und Filtern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Von A bis Z sortieren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Ellipse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86" name="Schritt" descr="Sortieren Sie die Beträge aus Dezember vom größten bis zum kleinsten. Klicken Sie auf eine beliebige Zelle in der Spalte &quot;Dez&quot;, und klicken Sie dann auf &quot;Start&quot; &gt; &quot;Sortieren und Filtern&quot; &gt; &quot;Nach Größe sortieren (absteigend)&quot;.">
            <a:extLst>
              <a:ext uri="{FF2B5EF4-FFF2-40B4-BE49-F238E27FC236}">
                <a16:creationId xmlns:a16="http://schemas.microsoft.com/office/drawing/2014/main" id="{00000000-0008-0000-0500-000056000000}"/>
              </a:ext>
            </a:extLst>
          </xdr:cNvPr>
          <xdr:cNvSpPr txBox="1"/>
        </xdr:nvSpPr>
        <xdr:spPr>
          <a:xfrm>
            <a:off x="972157" y="1624102"/>
            <a:ext cx="4876193" cy="842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Sortieren Sie die Beträge aus Dezember vom größten bis zum kleinsten. Klicken Sie auf eine beliebige Zelle in der Spalte „Dez“, und klicken Sie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Start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Sortieren und Filtern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Nach Größe sortieren (absteigend)</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Ellipse 86" descr="2">
            <a:extLst>
              <a:ext uri="{FF2B5EF4-FFF2-40B4-BE49-F238E27FC236}">
                <a16:creationId xmlns:a16="http://schemas.microsoft.com/office/drawing/2014/main" id="{00000000-0008-0000-0500-000057000000}"/>
              </a:ext>
            </a:extLst>
          </xdr:cNvPr>
          <xdr:cNvSpPr/>
        </xdr:nvSpPr>
        <xdr:spPr>
          <a:xfrm>
            <a:off x="565124" y="16006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88" name="Schritt" descr="Und nun filtern Sie die Daten, sodass nur die Zeilen für Backwaren angezeigt werden. Drücken Sie STRG+A, um alle Zellen auszuwählen, und klicken Sie dann auf &quot;Start&quot; &gt; &quot;Sortieren und Filtern&quot; &gt; &quot;Filtern&quot;&#10;">
            <a:extLst>
              <a:ext uri="{FF2B5EF4-FFF2-40B4-BE49-F238E27FC236}">
                <a16:creationId xmlns:a16="http://schemas.microsoft.com/office/drawing/2014/main" id="{00000000-0008-0000-0500-000058000000}"/>
              </a:ext>
            </a:extLst>
          </xdr:cNvPr>
          <xdr:cNvSpPr txBox="1"/>
        </xdr:nvSpPr>
        <xdr:spPr>
          <a:xfrm>
            <a:off x="972157" y="2254582"/>
            <a:ext cx="4885717" cy="70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 nun filtern Sie die Daten, sodass nur die Zeilen für Backwaren angezeigt werden. Drücken Sie STRG+A, um alle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Zellen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auszuwählen, und klicken Sie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Start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Sortieren und Filtern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Ellipse 88" descr="3">
            <a:extLst>
              <a:ext uri="{FF2B5EF4-FFF2-40B4-BE49-F238E27FC236}">
                <a16:creationId xmlns:a16="http://schemas.microsoft.com/office/drawing/2014/main" id="{00000000-0008-0000-0500-000059000000}"/>
              </a:ext>
            </a:extLst>
          </xdr:cNvPr>
          <xdr:cNvSpPr/>
        </xdr:nvSpPr>
        <xdr:spPr>
          <a:xfrm>
            <a:off x="565124" y="22501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90" name="Schritt" descr="In der obersten Zeile werden Filterschaltflächen angezeigt. Klicken Sie in der Zelle &quot;Abteilung&quot; auf die Filterschaltfläche, und klicken Sie dann, um das Kontrollkästchen &quot;Alles auswählen&quot; zu deaktivieren. Klicken Sie dann, um &quot;Backwaren&quot; auszuwählen.">
            <a:extLst>
              <a:ext uri="{FF2B5EF4-FFF2-40B4-BE49-F238E27FC236}">
                <a16:creationId xmlns:a16="http://schemas.microsoft.com/office/drawing/2014/main" id="{00000000-0008-0000-0500-00005A000000}"/>
              </a:ext>
            </a:extLst>
          </xdr:cNvPr>
          <xdr:cNvSpPr txBox="1"/>
        </xdr:nvSpPr>
        <xdr:spPr>
          <a:xfrm>
            <a:off x="972158" y="2884006"/>
            <a:ext cx="4809516" cy="84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der obersten Zeile werden Filterschaltflächen angezeigt. Klicken Sie in der Zelle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Abteilung</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die Filterschaltfläche      und klicken Sie dann, um das Kontrollkästchen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auswählen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zu deaktivieren. Klicken Sie dann, um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Backwaren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auszuwählen.</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Ellipse 90" descr="4">
            <a:extLst>
              <a:ext uri="{FF2B5EF4-FFF2-40B4-BE49-F238E27FC236}">
                <a16:creationId xmlns:a16="http://schemas.microsoft.com/office/drawing/2014/main" id="{00000000-0008-0000-0500-00005B000000}"/>
              </a:ext>
            </a:extLst>
          </xdr:cNvPr>
          <xdr:cNvSpPr/>
        </xdr:nvSpPr>
        <xdr:spPr>
          <a:xfrm>
            <a:off x="565124" y="28986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92" name="Schritt" descr="Klicken Sie auf &quot;OK&quot;, dann werden nur die Zeilen mit Backwaren angezeigt. Löschen Sie jetzt den Filter, indem Sie auf die Filterschaltfläche für &quot;Abteilung&quot; und dann auf &quot;Filter löschen&quot; klicken.">
            <a:extLst>
              <a:ext uri="{FF2B5EF4-FFF2-40B4-BE49-F238E27FC236}">
                <a16:creationId xmlns:a16="http://schemas.microsoft.com/office/drawing/2014/main" id="{00000000-0008-0000-0500-00005C000000}"/>
              </a:ext>
            </a:extLst>
          </xdr:cNvPr>
          <xdr:cNvSpPr txBox="1"/>
        </xdr:nvSpPr>
        <xdr:spPr>
          <a:xfrm>
            <a:off x="972158" y="3725532"/>
            <a:ext cx="4809516" cy="675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dann werden nur die Zeilen mit Backwaren angezeigt. Löschen Sie jetzt den Filter, indem Sie auf die Filterschaltfläche      für "Abteilung" und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löschen aus...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Ellipse 92" descr="5">
            <a:extLst>
              <a:ext uri="{FF2B5EF4-FFF2-40B4-BE49-F238E27FC236}">
                <a16:creationId xmlns:a16="http://schemas.microsoft.com/office/drawing/2014/main" id="{00000000-0008-0000-0500-00005D000000}"/>
              </a:ext>
            </a:extLst>
          </xdr:cNvPr>
          <xdr:cNvSpPr/>
        </xdr:nvSpPr>
        <xdr:spPr>
          <a:xfrm>
            <a:off x="565124" y="36830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pic>
        <xdr:nvPicPr>
          <xdr:cNvPr id="94" name="Bild 93" descr="Schaltfläche &quot;Filter&quot;">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3851752" y="3147760"/>
            <a:ext cx="140102" cy="138072"/>
          </a:xfrm>
          <a:prstGeom prst="rect">
            <a:avLst/>
          </a:prstGeom>
        </xdr:spPr>
      </xdr:pic>
    </xdr:grpSp>
    <xdr:clientData/>
  </xdr:twoCellAnchor>
  <xdr:twoCellAnchor editAs="oneCell">
    <xdr:from>
      <xdr:col>0</xdr:col>
      <xdr:colOff>390525</xdr:colOff>
      <xdr:row>27</xdr:row>
      <xdr:rowOff>171450</xdr:rowOff>
    </xdr:from>
    <xdr:to>
      <xdr:col>1</xdr:col>
      <xdr:colOff>5238750</xdr:colOff>
      <xdr:row>46</xdr:row>
      <xdr:rowOff>104775</xdr:rowOff>
    </xdr:to>
    <xdr:grpSp>
      <xdr:nvGrpSpPr>
        <xdr:cNvPr id="106" name="Sortieren nach Datum oder sogar nach Farbe"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2430" y="5882640"/>
          <a:ext cx="5709285" cy="3554730"/>
          <a:chOff x="0" y="-9524"/>
          <a:chExt cx="5695950" cy="3552825"/>
        </a:xfrm>
      </xdr:grpSpPr>
      <xdr:sp macro="" textlink="">
        <xdr:nvSpPr>
          <xdr:cNvPr id="107" name="Rechteck 106" descr="Hintergrund">
            <a:extLst>
              <a:ext uri="{FF2B5EF4-FFF2-40B4-BE49-F238E27FC236}">
                <a16:creationId xmlns:a16="http://schemas.microsoft.com/office/drawing/2014/main" id="{00000000-0008-0000-0500-00006B000000}"/>
              </a:ext>
            </a:extLst>
          </xdr:cNvPr>
          <xdr:cNvSpPr/>
        </xdr:nvSpPr>
        <xdr:spPr>
          <a:xfrm>
            <a:off x="0" y="-9524"/>
            <a:ext cx="5695950" cy="35528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8" name="Schritt" descr="Sortieren nach Datum oder sogar nach Farbe">
            <a:extLst>
              <a:ext uri="{FF2B5EF4-FFF2-40B4-BE49-F238E27FC236}">
                <a16:creationId xmlns:a16="http://schemas.microsoft.com/office/drawing/2014/main" id="{00000000-0008-0000-0500-00006C000000}"/>
              </a:ext>
            </a:extLst>
          </xdr:cNvPr>
          <xdr:cNvSpPr txBox="1"/>
        </xdr:nvSpPr>
        <xdr:spPr>
          <a:xfrm>
            <a:off x="231748" y="118698"/>
            <a:ext cx="5368952"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Sortieren nach Datum oder sogar nach Farbe</a:t>
            </a:r>
            <a:endParaRPr lang="en-US" sz="2200" b="0" spc="-30" baseline="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Gerader Verbinder 108" descr="Dekorative Lini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Gerader Verbinder 109" descr="Dekorative Linie">
            <a:extLst>
              <a:ext uri="{FF2B5EF4-FFF2-40B4-BE49-F238E27FC236}">
                <a16:creationId xmlns:a16="http://schemas.microsoft.com/office/drawing/2014/main" id="{00000000-0008-0000-0500-00006E000000}"/>
              </a:ext>
            </a:extLst>
          </xdr:cNvPr>
          <xdr:cNvCxnSpPr>
            <a:cxnSpLocks/>
          </xdr:cNvCxnSpPr>
        </xdr:nvCxnSpPr>
        <xdr:spPr>
          <a:xfrm>
            <a:off x="234924" y="32194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chritt" descr="Excel bietet viele Möglichkeiten zum Sortieren. Dies sind nur zwei weitere Möglichkeiten zum Sortieren, jedoch müssen Sie diesmal das Kontextmenü verwenden:">
            <a:extLst>
              <a:ext uri="{FF2B5EF4-FFF2-40B4-BE49-F238E27FC236}">
                <a16:creationId xmlns:a16="http://schemas.microsoft.com/office/drawing/2014/main" id="{00000000-0008-0000-0500-00006F000000}"/>
              </a:ext>
            </a:extLst>
          </xdr:cNvPr>
          <xdr:cNvSpPr txBox="1"/>
        </xdr:nvSpPr>
        <xdr:spPr>
          <a:xfrm>
            <a:off x="228600" y="699721"/>
            <a:ext cx="5300938" cy="652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bietet viele Möglichkeiten zum Sortieren. Dies sind nur zwei weitere Möglichkeiten zum Sortieren, jedoch müssen Sie diesmal das Kontextmenü verwenden:</a:t>
            </a:r>
          </a:p>
        </xdr:txBody>
      </xdr:sp>
      <xdr:sp macro="" textlink="">
        <xdr:nvSpPr>
          <xdr:cNvPr id="112" name="Schritt"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421272"/>
            <a:ext cx="4809516" cy="874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Sie möchten die Datumswerte der Reihe nach anordnen. Also klicken Sie mit der rechten Maustaste auf ein Datum, und klicken Sie dann auf </a:t>
            </a:r>
            <a:br>
              <a:rPr lang="en-US" sz="1100">
                <a:solidFill>
                  <a:schemeClr val="tx1">
                    <a:lumMod val="75000"/>
                    <a:lumOff val="25000"/>
                  </a:schemeClr>
                </a:solidFill>
                <a:latin typeface="Segoe UI" panose="020B0502040204020203" pitchFamily="34" charset="0"/>
                <a:cs typeface="Segoe UI" panose="020B0502040204020203" pitchFamily="34" charset="0"/>
              </a:rPr>
            </a:br>
            <a:r>
              <a:rPr lang="de" sz="1100" b="1">
                <a:solidFill>
                  <a:schemeClr val="tx1">
                    <a:lumMod val="75000"/>
                    <a:lumOff val="25000"/>
                  </a:schemeClr>
                </a:solidFill>
                <a:latin typeface="Segoe UI" panose="020B0502040204020203" pitchFamily="34" charset="0"/>
                <a:cs typeface="Segoe UI" panose="020B0502040204020203" pitchFamily="34" charset="0"/>
              </a:rPr>
              <a:t>Sortieren</a:t>
            </a:r>
            <a:r>
              <a:rPr lang="de" sz="1100">
                <a:solidFill>
                  <a:schemeClr val="tx1">
                    <a:lumMod val="75000"/>
                    <a:lumOff val="25000"/>
                  </a:schemeClr>
                </a:solidFill>
                <a:latin typeface="Segoe UI" panose="020B0502040204020203" pitchFamily="34" charset="0"/>
                <a:cs typeface="Segoe UI" panose="020B0502040204020203" pitchFamily="34" charset="0"/>
              </a:rPr>
              <a:t> &gt; </a:t>
            </a:r>
            <a:r>
              <a:rPr lang="de" sz="1100" b="1">
                <a:solidFill>
                  <a:schemeClr val="tx1">
                    <a:lumMod val="75000"/>
                    <a:lumOff val="25000"/>
                  </a:schemeClr>
                </a:solidFill>
                <a:latin typeface="Segoe UI" panose="020B0502040204020203" pitchFamily="34" charset="0"/>
                <a:cs typeface="Segoe UI" panose="020B0502040204020203" pitchFamily="34" charset="0"/>
              </a:rPr>
              <a:t>Nach Datum sortieren (aufsteigend)</a:t>
            </a:r>
            <a:r>
              <a:rPr lang="de" sz="1100">
                <a:solidFill>
                  <a:schemeClr val="tx1">
                    <a:lumMod val="75000"/>
                    <a:lumOff val="25000"/>
                  </a:schemeClr>
                </a:solidFill>
                <a:latin typeface="Segoe UI" panose="020B0502040204020203" pitchFamily="34" charset="0"/>
                <a:cs typeface="Segoe UI" panose="020B0502040204020203" pitchFamily="34" charset="0"/>
              </a:rPr>
              <a:t>. Die Zeilen werden nach dem Ausgabendatum in aufsteigender Reihenfolge sortiert.</a:t>
            </a:r>
          </a:p>
        </xdr:txBody>
      </xdr:sp>
      <xdr:sp macro="" textlink="">
        <xdr:nvSpPr>
          <xdr:cNvPr id="113" name="Ellipse 112" descr="1">
            <a:extLst>
              <a:ext uri="{FF2B5EF4-FFF2-40B4-BE49-F238E27FC236}">
                <a16:creationId xmlns:a16="http://schemas.microsoft.com/office/drawing/2014/main" id="{00000000-0008-0000-0500-000071000000}"/>
              </a:ext>
            </a:extLst>
          </xdr:cNvPr>
          <xdr:cNvSpPr/>
        </xdr:nvSpPr>
        <xdr:spPr>
          <a:xfrm>
            <a:off x="231749" y="13787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14" name="Schritt" descr="Jemand hat drei Zellen mit einer gelben Füllung formatiert. Sie können die Zeilen nach dieser Farbe sortieren. Klicken Sie mit der rechten Maustaste auf eine gelbe Zelle, und klicken Sie dann auf &quot;Sortieren&quot; &gt; &quot;Ausgewählte Zellenfarbe nach oben&quot;.">
            <a:extLst>
              <a:ext uri="{FF2B5EF4-FFF2-40B4-BE49-F238E27FC236}">
                <a16:creationId xmlns:a16="http://schemas.microsoft.com/office/drawing/2014/main" id="{00000000-0008-0000-0500-000072000000}"/>
              </a:ext>
            </a:extLst>
          </xdr:cNvPr>
          <xdr:cNvSpPr txBox="1"/>
        </xdr:nvSpPr>
        <xdr:spPr>
          <a:xfrm>
            <a:off x="638782" y="2283413"/>
            <a:ext cx="4809517" cy="812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Jemand hat drei Zellen mit einer gelben Füllung formatiert. Sie können die Zeilen nach dieser Farbe sortieren. Klicken Sie mit der rechten Maustaste auf eine gelbe Zelle und dann auf </a:t>
            </a:r>
            <a:r>
              <a:rPr lang="de" sz="1100" b="1">
                <a:solidFill>
                  <a:schemeClr val="tx1">
                    <a:lumMod val="75000"/>
                    <a:lumOff val="25000"/>
                  </a:schemeClr>
                </a:solidFill>
                <a:latin typeface="Segoe UI" panose="020B0502040204020203" pitchFamily="34" charset="0"/>
                <a:cs typeface="Segoe UI" panose="020B0502040204020203" pitchFamily="34" charset="0"/>
              </a:rPr>
              <a:t>Sortieren</a:t>
            </a:r>
            <a:r>
              <a:rPr lang="de" sz="1100">
                <a:solidFill>
                  <a:schemeClr val="tx1">
                    <a:lumMod val="75000"/>
                    <a:lumOff val="25000"/>
                  </a:schemeClr>
                </a:solidFill>
                <a:latin typeface="Segoe UI" panose="020B0502040204020203" pitchFamily="34" charset="0"/>
                <a:cs typeface="Segoe UI" panose="020B0502040204020203" pitchFamily="34" charset="0"/>
              </a:rPr>
              <a:t> &gt; </a:t>
            </a:r>
            <a:r>
              <a:rPr lang="de" sz="1100" b="1">
                <a:solidFill>
                  <a:schemeClr val="tx1">
                    <a:lumMod val="75000"/>
                    <a:lumOff val="25000"/>
                  </a:schemeClr>
                </a:solidFill>
                <a:latin typeface="Segoe UI" panose="020B0502040204020203" pitchFamily="34" charset="0"/>
                <a:cs typeface="Segoe UI" panose="020B0502040204020203" pitchFamily="34" charset="0"/>
              </a:rPr>
              <a:t>Ausgewählte Zellenfarbe nach oben sortieren</a:t>
            </a:r>
            <a:r>
              <a:rPr lang="de"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15" name="Ellipse 114" descr="2">
            <a:extLst>
              <a:ext uri="{FF2B5EF4-FFF2-40B4-BE49-F238E27FC236}">
                <a16:creationId xmlns:a16="http://schemas.microsoft.com/office/drawing/2014/main" id="{00000000-0008-0000-0500-000073000000}"/>
              </a:ext>
            </a:extLst>
          </xdr:cNvPr>
          <xdr:cNvSpPr/>
        </xdr:nvSpPr>
        <xdr:spPr>
          <a:xfrm>
            <a:off x="231749" y="22409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10</xdr:col>
      <xdr:colOff>219075</xdr:colOff>
      <xdr:row>38</xdr:row>
      <xdr:rowOff>19050</xdr:rowOff>
    </xdr:to>
    <xdr:grpSp>
      <xdr:nvGrpSpPr>
        <xdr:cNvPr id="8" name="Gruppe 7" descr="WICHTIGES DETAIL&#10;Sie können eine Sortierreihenfolge nicht löschen wie einen Filter. Wenn Sie nicht möchten, dass Ihre Sortierreihenfolge erhalten bleibt, machen Sie die Sortierung durch Drücken von STRG+Z rückgängig.&#10;">
          <a:extLst>
            <a:ext uri="{FF2B5EF4-FFF2-40B4-BE49-F238E27FC236}">
              <a16:creationId xmlns:a16="http://schemas.microsoft.com/office/drawing/2014/main" id="{CE79A11A-3679-4FE1-8870-918EA0DF3948}"/>
            </a:ext>
          </a:extLst>
        </xdr:cNvPr>
        <xdr:cNvGrpSpPr/>
      </xdr:nvGrpSpPr>
      <xdr:grpSpPr>
        <a:xfrm>
          <a:off x="10620375" y="6210299"/>
          <a:ext cx="2522220" cy="1615441"/>
          <a:chOff x="10582275" y="6629399"/>
          <a:chExt cx="2447925" cy="1619251"/>
        </a:xfrm>
      </xdr:grpSpPr>
      <xdr:pic>
        <xdr:nvPicPr>
          <xdr:cNvPr id="117" name="Grafik 122" descr="Lupe">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chritt" descr="WICHTIGES DETAIL&#10;Sie können eine Sortierreihenfolge nicht löschen wie einen Filter. Wenn Sie nicht möchten, dass Ihre Sortierreihenfolge erhalten bleibt, machen Sie die Sortierung durch Drücken von STRG+Z rückgängig.&#10;">
            <a:extLst>
              <a:ext uri="{FF2B5EF4-FFF2-40B4-BE49-F238E27FC236}">
                <a16:creationId xmlns:a16="http://schemas.microsoft.com/office/drawing/2014/main" id="{00000000-0008-0000-0500-000076000000}"/>
              </a:ext>
            </a:extLst>
          </xdr:cNvPr>
          <xdr:cNvSpPr txBox="1"/>
        </xdr:nvSpPr>
        <xdr:spPr>
          <a:xfrm>
            <a:off x="10886716" y="6629399"/>
            <a:ext cx="2143484"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Sie können eine Sortierreihenfolge nicht löschen wie einen Filter. Wenn Sie nicht möchten, dass Ihre Sortierreihenfolge erhalten bleibt, machen Sie die Sortierung durch </a:t>
            </a:r>
            <a:r>
              <a:rPr lang="de" sz="1100" kern="0" baseline="0">
                <a:solidFill>
                  <a:schemeClr val="bg2">
                    <a:lumMod val="25000"/>
                  </a:schemeClr>
                </a:solidFill>
                <a:ea typeface="Segoe UI" pitchFamily="34" charset="0"/>
                <a:cs typeface="Segoe UI Light" panose="020B0502040204020203" pitchFamily="34" charset="0"/>
              </a:rPr>
              <a:t>Drücken von STRG+Z rückgängig.</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48</xdr:row>
      <xdr:rowOff>5</xdr:rowOff>
    </xdr:from>
    <xdr:to>
      <xdr:col>1</xdr:col>
      <xdr:colOff>5238750</xdr:colOff>
      <xdr:row>67</xdr:row>
      <xdr:rowOff>0</xdr:rowOff>
    </xdr:to>
    <xdr:grpSp>
      <xdr:nvGrpSpPr>
        <xdr:cNvPr id="3" name="Weitere Verfahren zum Filtern von Daten"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2430" y="9715505"/>
          <a:ext cx="5709285" cy="3619495"/>
          <a:chOff x="390525" y="8972550"/>
          <a:chExt cx="5695950" cy="3708587"/>
        </a:xfrm>
      </xdr:grpSpPr>
      <xdr:sp macro="" textlink="">
        <xdr:nvSpPr>
          <xdr:cNvPr id="133" name="Rechteck 132" descr="Hintergrund">
            <a:extLst>
              <a:ext uri="{FF2B5EF4-FFF2-40B4-BE49-F238E27FC236}">
                <a16:creationId xmlns:a16="http://schemas.microsoft.com/office/drawing/2014/main" id="{00000000-0008-0000-0500-000085000000}"/>
              </a:ext>
            </a:extLst>
          </xdr:cNvPr>
          <xdr:cNvSpPr/>
        </xdr:nvSpPr>
        <xdr:spPr>
          <a:xfrm>
            <a:off x="390525" y="8972550"/>
            <a:ext cx="5695950" cy="370858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Schritt" descr="Weitere Verfahren zum Filtern von Daten">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Verfahren zum Filtern von Daten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Gerader Verbinder 134" descr="Dekorative Lini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Gerader Verbinder 135" descr="Dekorative Linie">
            <a:extLst>
              <a:ext uri="{FF2B5EF4-FFF2-40B4-BE49-F238E27FC236}">
                <a16:creationId xmlns:a16="http://schemas.microsoft.com/office/drawing/2014/main" id="{00000000-0008-0000-0500-000088000000}"/>
              </a:ext>
            </a:extLst>
          </xdr:cNvPr>
          <xdr:cNvCxnSpPr>
            <a:cxnSpLocks/>
          </xdr:cNvCxnSpPr>
        </xdr:nvCxnSpPr>
        <xdr:spPr>
          <a:xfrm>
            <a:off x="625449" y="1235494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chritt" descr="Viele Personen geben Formeln ein, um Beträge zu finden, die über dem Durchschnitt liegen oder einen bestimmten Betrag überschreiten. Die Eingabe von Formeln ist aber nicht erforderlich, wenn Spezialfilter zur Verfügung stehen.">
            <a:extLst>
              <a:ext uri="{FF2B5EF4-FFF2-40B4-BE49-F238E27FC236}">
                <a16:creationId xmlns:a16="http://schemas.microsoft.com/office/drawing/2014/main" id="{00000000-0008-0000-0500-000089000000}"/>
              </a:ext>
            </a:extLst>
          </xdr:cNvPr>
          <xdr:cNvSpPr txBox="1"/>
        </xdr:nvSpPr>
        <xdr:spPr>
          <a:xfrm>
            <a:off x="619125" y="9681795"/>
            <a:ext cx="5300938" cy="68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Viele Personen geben Formeln ein, um Beträge zu finden, die über dem Durchschnitt liegen oder einen bestimmten Betrag überschreiten. Die Eingabe von Formeln ist aber nicht erforderlich, wenn Spezialfilter zur Verfügung stehen.</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chritt"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350181"/>
            <a:ext cx="4809516" cy="876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in der Zelle </a:t>
            </a:r>
            <a:r>
              <a:rPr lang="de" sz="1100" b="1">
                <a:solidFill>
                  <a:schemeClr val="tx1">
                    <a:lumMod val="75000"/>
                    <a:lumOff val="25000"/>
                  </a:schemeClr>
                </a:solidFill>
                <a:latin typeface="Segoe UI" panose="020B0502040204020203" pitchFamily="34" charset="0"/>
                <a:cs typeface="Segoe UI" panose="020B0502040204020203" pitchFamily="34" charset="0"/>
              </a:rPr>
              <a:t>Hotel</a:t>
            </a:r>
            <a:r>
              <a:rPr lang="de" sz="1100">
                <a:solidFill>
                  <a:schemeClr val="tx1">
                    <a:lumMod val="75000"/>
                    <a:lumOff val="25000"/>
                  </a:schemeClr>
                </a:solidFill>
                <a:latin typeface="Segoe UI" panose="020B0502040204020203" pitchFamily="34" charset="0"/>
                <a:cs typeface="Segoe UI" panose="020B0502040204020203" pitchFamily="34" charset="0"/>
              </a:rPr>
              <a:t> auf die Filterschaltfläche      , und klicken Sie dann auf </a:t>
            </a:r>
            <a:r>
              <a:rPr lang="de" sz="1100" b="1">
                <a:solidFill>
                  <a:schemeClr val="tx1">
                    <a:lumMod val="75000"/>
                    <a:lumOff val="25000"/>
                  </a:schemeClr>
                </a:solidFill>
                <a:latin typeface="Segoe UI" panose="020B0502040204020203" pitchFamily="34" charset="0"/>
                <a:cs typeface="Segoe UI" panose="020B0502040204020203" pitchFamily="34" charset="0"/>
              </a:rPr>
              <a:t>Zahlenfilter</a:t>
            </a:r>
            <a:r>
              <a:rPr lang="de" sz="1100">
                <a:solidFill>
                  <a:schemeClr val="tx1">
                    <a:lumMod val="75000"/>
                    <a:lumOff val="25000"/>
                  </a:schemeClr>
                </a:solidFill>
                <a:latin typeface="Segoe UI" panose="020B0502040204020203" pitchFamily="34" charset="0"/>
                <a:cs typeface="Segoe UI" panose="020B0502040204020203" pitchFamily="34" charset="0"/>
              </a:rPr>
              <a:t> &gt; </a:t>
            </a:r>
            <a:r>
              <a:rPr lang="de" sz="1100" b="1">
                <a:solidFill>
                  <a:schemeClr val="tx1">
                    <a:lumMod val="75000"/>
                    <a:lumOff val="25000"/>
                  </a:schemeClr>
                </a:solidFill>
                <a:latin typeface="Segoe UI" panose="020B0502040204020203" pitchFamily="34" charset="0"/>
                <a:cs typeface="Segoe UI" panose="020B0502040204020203" pitchFamily="34" charset="0"/>
              </a:rPr>
              <a:t>Über dem Durchschnitt</a:t>
            </a:r>
            <a:r>
              <a:rPr lang="de" sz="1100">
                <a:solidFill>
                  <a:schemeClr val="tx1">
                    <a:lumMod val="75000"/>
                    <a:lumOff val="25000"/>
                  </a:schemeClr>
                </a:solidFill>
                <a:latin typeface="Segoe UI" panose="020B0502040204020203" pitchFamily="34" charset="0"/>
                <a:cs typeface="Segoe UI" panose="020B0502040204020203" pitchFamily="34" charset="0"/>
              </a:rPr>
              <a:t>. Excel berechnet den durchschnittlichen Betrag der Spalte „Hotel“ und zeigt dann nur Zeilen mit Beträgen an, die über diesem Durchschnittswert liegen. </a:t>
            </a:r>
          </a:p>
        </xdr:txBody>
      </xdr:sp>
      <xdr:sp macro="" textlink="">
        <xdr:nvSpPr>
          <xdr:cNvPr id="139" name="Ellipse 138" descr="1">
            <a:extLst>
              <a:ext uri="{FF2B5EF4-FFF2-40B4-BE49-F238E27FC236}">
                <a16:creationId xmlns:a16="http://schemas.microsoft.com/office/drawing/2014/main" id="{00000000-0008-0000-0500-00008B000000}"/>
              </a:ext>
            </a:extLst>
          </xdr:cNvPr>
          <xdr:cNvSpPr/>
        </xdr:nvSpPr>
        <xdr:spPr>
          <a:xfrm>
            <a:off x="622274" y="1033696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40" name="Schritt"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191201"/>
            <a:ext cx="4809517" cy="106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Fügen Sie jetzt einen zweiten Filter hinzu. Klicken Sie in der Zelle </a:t>
            </a:r>
            <a:r>
              <a:rPr lang="de" sz="1100" b="1">
                <a:solidFill>
                  <a:schemeClr val="tx1">
                    <a:lumMod val="75000"/>
                    <a:lumOff val="25000"/>
                  </a:schemeClr>
                </a:solidFill>
                <a:latin typeface="Segoe UI" panose="020B0502040204020203" pitchFamily="34" charset="0"/>
                <a:cs typeface="Segoe UI" panose="020B0502040204020203" pitchFamily="34" charset="0"/>
              </a:rPr>
              <a:t>Essen</a:t>
            </a:r>
            <a:r>
              <a:rPr lang="de" sz="1100">
                <a:solidFill>
                  <a:schemeClr val="tx1">
                    <a:lumMod val="75000"/>
                    <a:lumOff val="25000"/>
                  </a:schemeClr>
                </a:solidFill>
                <a:latin typeface="Segoe UI" panose="020B0502040204020203" pitchFamily="34" charset="0"/>
                <a:cs typeface="Segoe UI" panose="020B0502040204020203" pitchFamily="34" charset="0"/>
              </a:rPr>
              <a:t> auf die Filterschaltfläche      und klicken Sie dann auf </a:t>
            </a:r>
            <a:r>
              <a:rPr lang="de" sz="1100" b="1">
                <a:solidFill>
                  <a:schemeClr val="tx1">
                    <a:lumMod val="75000"/>
                    <a:lumOff val="25000"/>
                  </a:schemeClr>
                </a:solidFill>
                <a:latin typeface="Segoe UI" panose="020B0502040204020203" pitchFamily="34" charset="0"/>
                <a:cs typeface="Segoe UI" panose="020B0502040204020203" pitchFamily="34" charset="0"/>
              </a:rPr>
              <a:t>Zahlenfilter</a:t>
            </a:r>
            <a:r>
              <a:rPr lang="de" sz="1100">
                <a:solidFill>
                  <a:schemeClr val="tx1">
                    <a:lumMod val="75000"/>
                    <a:lumOff val="25000"/>
                  </a:schemeClr>
                </a:solidFill>
                <a:latin typeface="Segoe UI" panose="020B0502040204020203" pitchFamily="34" charset="0"/>
                <a:cs typeface="Segoe UI" panose="020B0502040204020203" pitchFamily="34" charset="0"/>
              </a:rPr>
              <a:t> </a:t>
            </a:r>
            <a:r>
              <a:rPr lang="de" sz="1100" b="0">
                <a:solidFill>
                  <a:schemeClr val="tx1">
                    <a:lumMod val="75000"/>
                    <a:lumOff val="25000"/>
                  </a:schemeClr>
                </a:solidFill>
                <a:latin typeface="Segoe UI" panose="020B0502040204020203" pitchFamily="34" charset="0"/>
                <a:cs typeface="Segoe UI" panose="020B0502040204020203" pitchFamily="34" charset="0"/>
              </a:rPr>
              <a:t>&gt; </a:t>
            </a:r>
            <a:r>
              <a:rPr lang="de" sz="1100" b="1">
                <a:solidFill>
                  <a:schemeClr val="tx1">
                    <a:lumMod val="75000"/>
                    <a:lumOff val="25000"/>
                  </a:schemeClr>
                </a:solidFill>
                <a:latin typeface="Segoe UI" panose="020B0502040204020203" pitchFamily="34" charset="0"/>
                <a:cs typeface="Segoe UI" panose="020B0502040204020203" pitchFamily="34" charset="0"/>
              </a:rPr>
              <a:t>Größer als...</a:t>
            </a:r>
            <a:r>
              <a:rPr lang="de" sz="1100">
                <a:solidFill>
                  <a:schemeClr val="tx1">
                    <a:lumMod val="75000"/>
                    <a:lumOff val="25000"/>
                  </a:schemeClr>
                </a:solidFill>
                <a:latin typeface="Segoe UI" panose="020B0502040204020203" pitchFamily="34" charset="0"/>
                <a:cs typeface="Segoe UI" panose="020B0502040204020203" pitchFamily="34" charset="0"/>
              </a:rPr>
              <a:t>, und geben Sie </a:t>
            </a:r>
            <a:r>
              <a:rPr lang="de" sz="1100" b="1">
                <a:solidFill>
                  <a:schemeClr val="tx1">
                    <a:lumMod val="75000"/>
                    <a:lumOff val="25000"/>
                  </a:schemeClr>
                </a:solidFill>
                <a:latin typeface="Segoe UI" panose="020B0502040204020203" pitchFamily="34" charset="0"/>
                <a:cs typeface="Segoe UI" panose="020B0502040204020203" pitchFamily="34" charset="0"/>
              </a:rPr>
              <a:t>25</a:t>
            </a:r>
            <a:r>
              <a:rPr lang="de" sz="1100">
                <a:solidFill>
                  <a:schemeClr val="tx1">
                    <a:lumMod val="75000"/>
                    <a:lumOff val="25000"/>
                  </a:schemeClr>
                </a:solidFill>
                <a:latin typeface="Segoe UI" panose="020B0502040204020203" pitchFamily="34" charset="0"/>
                <a:cs typeface="Segoe UI" panose="020B0502040204020203" pitchFamily="34" charset="0"/>
              </a:rPr>
              <a:t> ein.</a:t>
            </a:r>
            <a:r>
              <a:rPr lang="de" sz="1100" b="1">
                <a:solidFill>
                  <a:schemeClr val="tx1">
                    <a:lumMod val="75000"/>
                    <a:lumOff val="25000"/>
                  </a:schemeClr>
                </a:solidFill>
                <a:latin typeface="Segoe UI" panose="020B0502040204020203" pitchFamily="34" charset="0"/>
                <a:cs typeface="Segoe UI" panose="020B0502040204020203" pitchFamily="34" charset="0"/>
              </a:rPr>
              <a:t> </a:t>
            </a:r>
            <a:r>
              <a:rPr lang="de" sz="1100">
                <a:solidFill>
                  <a:schemeClr val="tx1">
                    <a:lumMod val="75000"/>
                    <a:lumOff val="25000"/>
                  </a:schemeClr>
                </a:solidFill>
                <a:latin typeface="Segoe UI" panose="020B0502040204020203" pitchFamily="34" charset="0"/>
                <a:cs typeface="Segoe UI" panose="020B0502040204020203" pitchFamily="34" charset="0"/>
              </a:rPr>
              <a:t>Klicken Sie auf </a:t>
            </a:r>
            <a:r>
              <a:rPr lang="de" sz="1100" b="1">
                <a:solidFill>
                  <a:schemeClr val="tx1">
                    <a:lumMod val="75000"/>
                    <a:lumOff val="25000"/>
                  </a:schemeClr>
                </a:solidFill>
                <a:latin typeface="Segoe UI" panose="020B0502040204020203" pitchFamily="34" charset="0"/>
                <a:cs typeface="Segoe UI" panose="020B0502040204020203" pitchFamily="34" charset="0"/>
              </a:rPr>
              <a:t>OK</a:t>
            </a:r>
            <a:r>
              <a:rPr lang="de" sz="1100">
                <a:solidFill>
                  <a:schemeClr val="tx1">
                    <a:lumMod val="75000"/>
                    <a:lumOff val="25000"/>
                  </a:schemeClr>
                </a:solidFill>
                <a:latin typeface="Segoe UI" panose="020B0502040204020203" pitchFamily="34" charset="0"/>
                <a:cs typeface="Segoe UI" panose="020B0502040204020203" pitchFamily="34" charset="0"/>
              </a:rPr>
              <a:t>.</a:t>
            </a:r>
            <a:r>
              <a:rPr lang="en-US" sz="1100" baseline="0">
                <a:solidFill>
                  <a:schemeClr val="tx1">
                    <a:lumMod val="75000"/>
                    <a:lumOff val="25000"/>
                  </a:schemeClr>
                </a:solidFill>
                <a:latin typeface="Segoe UI" panose="020B0502040204020203" pitchFamily="34" charset="0"/>
                <a:cs typeface="Segoe UI" panose="020B0502040204020203" pitchFamily="34" charset="0"/>
              </a:rPr>
              <a:t> </a:t>
            </a:r>
            <a:r>
              <a:rPr lang="de" sz="1100">
                <a:solidFill>
                  <a:schemeClr val="tx1">
                    <a:lumMod val="75000"/>
                    <a:lumOff val="25000"/>
                  </a:schemeClr>
                </a:solidFill>
                <a:latin typeface="Segoe UI" panose="020B0502040204020203" pitchFamily="34" charset="0"/>
                <a:cs typeface="Segoe UI" panose="020B0502040204020203" pitchFamily="34" charset="0"/>
              </a:rPr>
              <a:t>Aus den drei Zeilen, die als über dem Durchschnitt liegend gefiltert wurden, zeigt Excel zwei Zeilen mit Beträgen für Speisen größer als 25 an.</a:t>
            </a:r>
          </a:p>
        </xdr:txBody>
      </xdr:sp>
      <xdr:sp macro="" textlink="">
        <xdr:nvSpPr>
          <xdr:cNvPr id="141" name="Ellipse 140" descr="2">
            <a:extLst>
              <a:ext uri="{FF2B5EF4-FFF2-40B4-BE49-F238E27FC236}">
                <a16:creationId xmlns:a16="http://schemas.microsoft.com/office/drawing/2014/main" id="{00000000-0008-0000-0500-00008D000000}"/>
              </a:ext>
            </a:extLst>
          </xdr:cNvPr>
          <xdr:cNvSpPr/>
        </xdr:nvSpPr>
        <xdr:spPr>
          <a:xfrm>
            <a:off x="622274" y="111487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pic>
        <xdr:nvPicPr>
          <xdr:cNvPr id="131" name="Bild 130" descr="Schaltfläche &quot;Filter&quot;">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4462626" y="10424625"/>
            <a:ext cx="140102" cy="138072"/>
          </a:xfrm>
          <a:prstGeom prst="rect">
            <a:avLst/>
          </a:prstGeom>
        </xdr:spPr>
      </xdr:pic>
      <xdr:pic>
        <xdr:nvPicPr>
          <xdr:cNvPr id="132" name="Bild 131" descr="Schaltfläche &quot;Filter&quot;">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2419528" y="11449727"/>
            <a:ext cx="140102" cy="138072"/>
          </a:xfrm>
          <a:prstGeom prst="rect">
            <a:avLst/>
          </a:prstGeom>
        </xdr:spPr>
      </xdr:pic>
    </xdr:grpSp>
    <xdr:clientData/>
  </xdr:twoCellAnchor>
  <xdr:twoCellAnchor editAs="absolute">
    <xdr:from>
      <xdr:col>0</xdr:col>
      <xdr:colOff>389826</xdr:colOff>
      <xdr:row>68</xdr:row>
      <xdr:rowOff>9525</xdr:rowOff>
    </xdr:from>
    <xdr:to>
      <xdr:col>1</xdr:col>
      <xdr:colOff>5238051</xdr:colOff>
      <xdr:row>83</xdr:row>
      <xdr:rowOff>109499</xdr:rowOff>
    </xdr:to>
    <xdr:grpSp>
      <xdr:nvGrpSpPr>
        <xdr:cNvPr id="2" name="Mehr im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91731" y="13536930"/>
          <a:ext cx="5716905" cy="2953664"/>
          <a:chOff x="389826" y="12352299"/>
          <a:chExt cx="5695950" cy="2806700"/>
        </a:xfrm>
      </xdr:grpSpPr>
      <xdr:sp macro="" textlink="">
        <xdr:nvSpPr>
          <xdr:cNvPr id="143" name="Rechteck 142" descr="Hintergr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4" name="Schritt" descr="Weitere Informationen im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Gerader Verbinder 144" descr="Dekorative Lini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Schaltfläche &quot;Weiter&quot;" descr="Zurück zum Anfang, mit Link zur Zelle A1">
            <a:hlinkClick xmlns:r="http://schemas.openxmlformats.org/officeDocument/2006/relationships" r:id="rId8" tooltip="Auswählen, um zur Zelle A1 auf diesem Arbeitsblatt zu gelangen"/>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47" name="Gerader Verbinder 146" descr="Dekorative Lini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500-000094000000}"/>
              </a:ext>
            </a:extLst>
          </xdr:cNvPr>
          <xdr:cNvSpPr/>
        </xdr:nvSpPr>
        <xdr:spPr>
          <a:xfrm>
            <a:off x="4362450" y="14573212"/>
            <a:ext cx="147567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49" name="Schritt" descr="Sortieren von Daten in einem Bereich oder einer Tabelle, mit Link ins Web">
            <a:hlinkClick xmlns:r="http://schemas.openxmlformats.org/officeDocument/2006/relationships" r:id="rId9" tooltip="Auswählen, um Informationen zum Sortieren von Daten in einem Bereich oder einer Tabelle aus dem Web anzuzeigen"/>
            <a:extLst>
              <a:ext uri="{FF2B5EF4-FFF2-40B4-BE49-F238E27FC236}">
                <a16:creationId xmlns:a16="http://schemas.microsoft.com/office/drawing/2014/main" id="{00000000-0008-0000-0500-000095000000}"/>
              </a:ext>
            </a:extLst>
          </xdr:cNvPr>
          <xdr:cNvSpPr txBox="1"/>
        </xdr:nvSpPr>
        <xdr:spPr>
          <a:xfrm>
            <a:off x="1028609" y="13147147"/>
            <a:ext cx="414346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Sortieren von Daten in einem Bereich oder in einer Tabelle</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50"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chritt" descr="Filtern von Daten in einem Bereich oder einer Tabelle, mit Link ins Web">
            <a:hlinkClick xmlns:r="http://schemas.openxmlformats.org/officeDocument/2006/relationships" r:id="rId12" tooltip="Auswählen, um Informationen zum Filtern von Daten in einem Bereich oder einer Tabelle aus dem Web anzuzeigen"/>
            <a:extLst>
              <a:ext uri="{FF2B5EF4-FFF2-40B4-BE49-F238E27FC236}">
                <a16:creationId xmlns:a16="http://schemas.microsoft.com/office/drawing/2014/main" id="{00000000-0008-0000-0500-000097000000}"/>
              </a:ext>
            </a:extLst>
          </xdr:cNvPr>
          <xdr:cNvSpPr txBox="1"/>
        </xdr:nvSpPr>
        <xdr:spPr>
          <a:xfrm>
            <a:off x="1028609" y="13611754"/>
            <a:ext cx="376246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Filtern von Daten in einem Bereich oder einer Tabelle</a:t>
            </a:r>
          </a:p>
        </xdr:txBody>
      </xdr:sp>
      <xdr:pic>
        <xdr:nvPicPr>
          <xdr:cNvPr id="152"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twoCellAnchor>
    <xdr:from>
      <xdr:col>1</xdr:col>
      <xdr:colOff>4152900</xdr:colOff>
      <xdr:row>18</xdr:row>
      <xdr:rowOff>0</xdr:rowOff>
    </xdr:from>
    <xdr:to>
      <xdr:col>1</xdr:col>
      <xdr:colOff>4290972</xdr:colOff>
      <xdr:row>18</xdr:row>
      <xdr:rowOff>138072</xdr:rowOff>
    </xdr:to>
    <xdr:pic>
      <xdr:nvPicPr>
        <xdr:cNvPr id="60" name="Picture 59">
          <a:extLst>
            <a:ext uri="{FF2B5EF4-FFF2-40B4-BE49-F238E27FC236}">
              <a16:creationId xmlns:a16="http://schemas.microsoft.com/office/drawing/2014/main" id="{639A40CE-497F-42A7-9FBF-8DFFC8049AC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00625" y="4000500"/>
          <a:ext cx="138072" cy="1380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390525</xdr:colOff>
      <xdr:row>0</xdr:row>
      <xdr:rowOff>266700</xdr:rowOff>
    </xdr:from>
    <xdr:to>
      <xdr:col>1</xdr:col>
      <xdr:colOff>5238750</xdr:colOff>
      <xdr:row>24</xdr:row>
      <xdr:rowOff>180975</xdr:rowOff>
    </xdr:to>
    <xdr:grpSp>
      <xdr:nvGrpSpPr>
        <xdr:cNvPr id="8" name="Mit Tabellen wird vieles einfach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92430" y="266700"/>
          <a:ext cx="5709285" cy="5055870"/>
          <a:chOff x="333375" y="266700"/>
          <a:chExt cx="5695950" cy="5057775"/>
        </a:xfrm>
      </xdr:grpSpPr>
      <xdr:sp macro="" textlink="">
        <xdr:nvSpPr>
          <xdr:cNvPr id="95" name="Rechteck 94" descr="Hintergrund">
            <a:extLst>
              <a:ext uri="{FF2B5EF4-FFF2-40B4-BE49-F238E27FC236}">
                <a16:creationId xmlns:a16="http://schemas.microsoft.com/office/drawing/2014/main" id="{00000000-0008-0000-0600-00005F000000}"/>
              </a:ext>
            </a:extLst>
          </xdr:cNvPr>
          <xdr:cNvSpPr/>
        </xdr:nvSpPr>
        <xdr:spPr>
          <a:xfrm>
            <a:off x="333375" y="266700"/>
            <a:ext cx="5695950" cy="5057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6" name="Schritt" descr="Mit Tabellen wird vieles einfach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Mit Tabellen wird vieles einfacher</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Gerader Verbinder 96" descr="Dekorative Lini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Schaltfläche &quot;Weiter&quot;" descr="Mehr Details erfahren">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604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99" name="Gerader Verbinder 98" descr="Dekorative Linie">
            <a:extLst>
              <a:ext uri="{FF2B5EF4-FFF2-40B4-BE49-F238E27FC236}">
                <a16:creationId xmlns:a16="http://schemas.microsoft.com/office/drawing/2014/main" id="{00000000-0008-0000-0600-000063000000}"/>
              </a:ext>
            </a:extLst>
          </xdr:cNvPr>
          <xdr:cNvCxnSpPr>
            <a:cxnSpLocks/>
          </xdr:cNvCxnSpPr>
        </xdr:nvCxnSpPr>
        <xdr:spPr>
          <a:xfrm>
            <a:off x="568299" y="4343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600-000064000000}"/>
              </a:ext>
            </a:extLst>
          </xdr:cNvPr>
          <xdr:cNvSpPr/>
        </xdr:nvSpPr>
        <xdr:spPr>
          <a:xfrm>
            <a:off x="4305300" y="4604507"/>
            <a:ext cx="1476375"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01" name="Schritt" descr="Mit einer Tabelle haben Sie Zugriff auf besondere Funktionen und Annehmlichkeiten. So erstellen Sie eine Tabelle:">
            <a:extLst>
              <a:ext uri="{FF2B5EF4-FFF2-40B4-BE49-F238E27FC236}">
                <a16:creationId xmlns:a16="http://schemas.microsoft.com/office/drawing/2014/main" id="{00000000-0008-0000-0600-000065000000}"/>
              </a:ext>
            </a:extLst>
          </xdr:cNvPr>
          <xdr:cNvSpPr txBox="1"/>
        </xdr:nvSpPr>
        <xdr:spPr>
          <a:xfrm>
            <a:off x="561975" y="966421"/>
            <a:ext cx="5300938" cy="45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 einer Tabelle haben Sie Zugriff auf besondere Funktionen und Annehmlichkeiten. So erstellen Sie eine Tabelle:</a:t>
            </a:r>
          </a:p>
        </xdr:txBody>
      </xdr:sp>
      <xdr:sp macro="" textlink="">
        <xdr:nvSpPr>
          <xdr:cNvPr id="102" name="Schritt" descr="Klicken Sie innerhalb der Daten auf der rechten Seite, und klicken Sie dann auf &quot;Einfügen&quot; &gt; &quot;Tabelle&quot; &gt; &quot;OK&quot;.">
            <a:extLst>
              <a:ext uri="{FF2B5EF4-FFF2-40B4-BE49-F238E27FC236}">
                <a16:creationId xmlns:a16="http://schemas.microsoft.com/office/drawing/2014/main" id="{00000000-0008-0000-0600-000066000000}"/>
              </a:ext>
            </a:extLst>
          </xdr:cNvPr>
          <xdr:cNvSpPr txBox="1"/>
        </xdr:nvSpPr>
        <xdr:spPr>
          <a:xfrm>
            <a:off x="972158" y="1436359"/>
            <a:ext cx="4809516" cy="47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Klicken Sie innerhalb der Dat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 auf der rechten Seite und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Einfügen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Tabelle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Ellipse 102" descr="1">
            <a:extLst>
              <a:ext uri="{FF2B5EF4-FFF2-40B4-BE49-F238E27FC236}">
                <a16:creationId xmlns:a16="http://schemas.microsoft.com/office/drawing/2014/main" id="{00000000-0008-0000-0600-000067000000}"/>
              </a:ext>
            </a:extLst>
          </xdr:cNvPr>
          <xdr:cNvSpPr/>
        </xdr:nvSpPr>
        <xdr:spPr>
          <a:xfrm>
            <a:off x="565124" y="14605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04" name="Schritt" descr="Jetzt haben Sie eine Tabelle, die eine Sammlung von Zellen mit besonderen Features ist. Für Anfänger: Eine Tabelle bietet Ihnen gebänderte Zeilen für bessere Lesbarkeit.">
            <a:extLst>
              <a:ext uri="{FF2B5EF4-FFF2-40B4-BE49-F238E27FC236}">
                <a16:creationId xmlns:a16="http://schemas.microsoft.com/office/drawing/2014/main" id="{00000000-0008-0000-0600-000068000000}"/>
              </a:ext>
            </a:extLst>
          </xdr:cNvPr>
          <xdr:cNvSpPr txBox="1"/>
        </xdr:nvSpPr>
        <xdr:spPr>
          <a:xfrm>
            <a:off x="972157" y="1932804"/>
            <a:ext cx="4809517" cy="71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Jetzt haben Sie eine Tabelle, die eine Sammlung von Zellen mit besonderen Features ist. Für Neueinsteiger: Eine Tabelle bietet Ihnen gebänderte Zeilen für bessere Lesbarkeit.</a:t>
            </a:r>
          </a:p>
        </xdr:txBody>
      </xdr:sp>
      <xdr:sp macro="" textlink="">
        <xdr:nvSpPr>
          <xdr:cNvPr id="105" name="Ellipse 104" descr="2">
            <a:extLst>
              <a:ext uri="{FF2B5EF4-FFF2-40B4-BE49-F238E27FC236}">
                <a16:creationId xmlns:a16="http://schemas.microsoft.com/office/drawing/2014/main" id="{00000000-0008-0000-0600-000069000000}"/>
              </a:ext>
            </a:extLst>
          </xdr:cNvPr>
          <xdr:cNvSpPr/>
        </xdr:nvSpPr>
        <xdr:spPr>
          <a:xfrm>
            <a:off x="565124" y="19474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06" name="Schritt" descr="Ferner können Sie einfach neue Zeilen erstellen. Geben Sie in der leeren Zelle unter &quot;Fleischwaren&quot; Text ein, und drücken Sie die Eingabetaste. Es wird eine neue Zeile für die Tabelle angezeigt.">
            <a:extLst>
              <a:ext uri="{FF2B5EF4-FFF2-40B4-BE49-F238E27FC236}">
                <a16:creationId xmlns:a16="http://schemas.microsoft.com/office/drawing/2014/main" id="{00000000-0008-0000-0600-00006A000000}"/>
              </a:ext>
            </a:extLst>
          </xdr:cNvPr>
          <xdr:cNvSpPr txBox="1"/>
        </xdr:nvSpPr>
        <xdr:spPr>
          <a:xfrm>
            <a:off x="972158" y="2532170"/>
            <a:ext cx="4809516" cy="725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Ferner können Sie einfach neue Zeilen erstellen. Geben Sie in der leeren Zelle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Fleischwaren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Text ein,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drücken Sie die EINGABETASTE.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 wird eine neue Zeile für die Tabelle angezeigt.</a:t>
            </a:r>
          </a:p>
        </xdr:txBody>
      </xdr:sp>
      <xdr:sp macro="" textlink="">
        <xdr:nvSpPr>
          <xdr:cNvPr id="107" name="Ellipse 106" descr="3">
            <a:extLst>
              <a:ext uri="{FF2B5EF4-FFF2-40B4-BE49-F238E27FC236}">
                <a16:creationId xmlns:a16="http://schemas.microsoft.com/office/drawing/2014/main" id="{00000000-0008-0000-0600-00006B000000}"/>
              </a:ext>
            </a:extLst>
          </xdr:cNvPr>
          <xdr:cNvSpPr/>
        </xdr:nvSpPr>
        <xdr:spPr>
          <a:xfrm>
            <a:off x="565124" y="25658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08" name="Schritt"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3154743"/>
            <a:ext cx="4809516" cy="664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 genauso einfach können Sie Spalten erstellen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Klicken Sie in der unteren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rechten Ecke der Tabelle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auf den Ziehpunkt zur Größenänderung    und ziehen Sie ihn um zwei Spalten nach rechts.</a:t>
            </a:r>
          </a:p>
        </xdr:txBody>
      </xdr:sp>
      <xdr:sp macro="" textlink="">
        <xdr:nvSpPr>
          <xdr:cNvPr id="109" name="Ellipse 108" descr="4">
            <a:extLst>
              <a:ext uri="{FF2B5EF4-FFF2-40B4-BE49-F238E27FC236}">
                <a16:creationId xmlns:a16="http://schemas.microsoft.com/office/drawing/2014/main" id="{00000000-0008-0000-0600-00006D000000}"/>
              </a:ext>
            </a:extLst>
          </xdr:cNvPr>
          <xdr:cNvSpPr/>
        </xdr:nvSpPr>
        <xdr:spPr>
          <a:xfrm>
            <a:off x="565124" y="315987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10" name="Schritt" descr="Beachten Sie, wie die beiden Spalten erstellt und formatiert werden und wie der Text &quot;Jan.&quot; und &quot;Feb.&quot; automatisch für Sie eingesetzt wird.">
            <a:extLst>
              <a:ext uri="{FF2B5EF4-FFF2-40B4-BE49-F238E27FC236}">
                <a16:creationId xmlns:a16="http://schemas.microsoft.com/office/drawing/2014/main" id="{00000000-0008-0000-0600-00006E000000}"/>
              </a:ext>
            </a:extLst>
          </xdr:cNvPr>
          <xdr:cNvSpPr txBox="1"/>
        </xdr:nvSpPr>
        <xdr:spPr>
          <a:xfrm>
            <a:off x="972158" y="3795957"/>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Beachten Sie, wie die beiden Spalten erstellt und formatiert werden und wie der Text "Jan." und "Feb." automatisch für Sie eingesetzt wird.</a:t>
            </a:r>
          </a:p>
        </xdr:txBody>
      </xdr:sp>
      <xdr:sp macro="" textlink="">
        <xdr:nvSpPr>
          <xdr:cNvPr id="111" name="Ellipse 110" descr="5">
            <a:extLst>
              <a:ext uri="{FF2B5EF4-FFF2-40B4-BE49-F238E27FC236}">
                <a16:creationId xmlns:a16="http://schemas.microsoft.com/office/drawing/2014/main" id="{00000000-0008-0000-0600-00006F000000}"/>
              </a:ext>
            </a:extLst>
          </xdr:cNvPr>
          <xdr:cNvSpPr/>
        </xdr:nvSpPr>
        <xdr:spPr>
          <a:xfrm>
            <a:off x="565124" y="38010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pic>
        <xdr:nvPicPr>
          <xdr:cNvPr id="113" name="Bild 112" descr="Ziehpunkt">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5331277" y="32971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Berechnete Spalten in Tabellen"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2430" y="5524500"/>
          <a:ext cx="5709285" cy="3636009"/>
          <a:chOff x="390525" y="5943600"/>
          <a:chExt cx="5695950" cy="3632199"/>
        </a:xfrm>
      </xdr:grpSpPr>
      <xdr:sp macro="" textlink="">
        <xdr:nvSpPr>
          <xdr:cNvPr id="119" name="Rechteck 118" descr="Hintergr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0" name="Schritt" descr="Berechnete Spalten in Tabellen">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Berechnete Spalten in Tabellen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Gerader Verbinder 120" descr="Dekorative Lini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Gerader Verbinder 121" descr="Dekorative Lini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chritt" descr="Ein Beispiel für eine Annehmlichkeit, die Tabellen für Sie bereithalten: berechnete Spalten. Sie geben eine Formel einmal ein, und sie wird automatisch nach unten ausgefüllt. Und so funktioniert es:">
            <a:extLst>
              <a:ext uri="{FF2B5EF4-FFF2-40B4-BE49-F238E27FC236}">
                <a16:creationId xmlns:a16="http://schemas.microsoft.com/office/drawing/2014/main" id="{00000000-0008-0000-0600-00007B000000}"/>
              </a:ext>
            </a:extLst>
          </xdr:cNvPr>
          <xdr:cNvSpPr txBox="1"/>
        </xdr:nvSpPr>
        <xdr:spPr>
          <a:xfrm>
            <a:off x="619125" y="6640059"/>
            <a:ext cx="5300938" cy="703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 Beispiel für eine Annehmlichkeit</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 Tabellen für Sie bereithalten: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erechnete Spalten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Sie geben eine Formel einmal ein, und sie wird automatisch nach unten ausgefüllt. Und so funktioniert es:</a:t>
            </a:r>
          </a:p>
        </xdr:txBody>
      </xdr:sp>
      <xdr:sp macro="" textlink="">
        <xdr:nvSpPr>
          <xdr:cNvPr id="124" name="Schritt" descr="Wählen Sie die Zelle unter &quot;Summe&quot; aus.">
            <a:extLst>
              <a:ext uri="{FF2B5EF4-FFF2-40B4-BE49-F238E27FC236}">
                <a16:creationId xmlns:a16="http://schemas.microsoft.com/office/drawing/2014/main" id="{00000000-0008-0000-0600-00007C000000}"/>
              </a:ext>
            </a:extLst>
          </xdr:cNvPr>
          <xdr:cNvSpPr txBox="1"/>
        </xdr:nvSpPr>
        <xdr:spPr>
          <a:xfrm>
            <a:off x="1029308" y="7368857"/>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latin typeface="Segoe UI" panose="020B0502040204020203" pitchFamily="34" charset="0"/>
                <a:cs typeface="Segoe UI" panose="020B0502040204020203" pitchFamily="34" charset="0"/>
              </a:rPr>
              <a:t>Wählen Sie die Zelle unter </a:t>
            </a:r>
            <a:r>
              <a:rPr lang="de-DE" sz="1100" b="1">
                <a:latin typeface="Segoe UI" panose="020B0502040204020203" pitchFamily="34" charset="0"/>
                <a:cs typeface="Segoe UI" panose="020B0502040204020203" pitchFamily="34" charset="0"/>
              </a:rPr>
              <a:t>Gesamt</a:t>
            </a:r>
            <a:r>
              <a:rPr lang="de" sz="1100">
                <a:latin typeface="Segoe UI" panose="020B0502040204020203" pitchFamily="34" charset="0"/>
                <a:cs typeface="Segoe UI" panose="020B0502040204020203" pitchFamily="34" charset="0"/>
              </a:rPr>
              <a:t> aus.</a:t>
            </a:r>
          </a:p>
        </xdr:txBody>
      </xdr:sp>
      <xdr:sp macro="" textlink="">
        <xdr:nvSpPr>
          <xdr:cNvPr id="125" name="Ellipse 124" descr="1">
            <a:extLst>
              <a:ext uri="{FF2B5EF4-FFF2-40B4-BE49-F238E27FC236}">
                <a16:creationId xmlns:a16="http://schemas.microsoft.com/office/drawing/2014/main" id="{00000000-0008-0000-0600-00007D000000}"/>
              </a:ext>
            </a:extLst>
          </xdr:cNvPr>
          <xdr:cNvSpPr/>
        </xdr:nvSpPr>
        <xdr:spPr>
          <a:xfrm>
            <a:off x="622274" y="7327125"/>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26" name="Schritt" descr="Drücken Sie die Eingabetaste.">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latin typeface="Segoe UI" panose="020B0502040204020203" pitchFamily="34" charset="0"/>
                <a:cs typeface="Segoe UI" panose="020B0502040204020203" pitchFamily="34" charset="0"/>
              </a:rPr>
              <a:t>Drücken Sie</a:t>
            </a:r>
          </a:p>
          <a:p>
            <a:pPr rtl="0"/>
            <a:endParaRPr lang="en-US" sz="1100">
              <a:latin typeface="Segoe UI" panose="020B0502040204020203" pitchFamily="34" charset="0"/>
              <a:cs typeface="Segoe UI" panose="020B0502040204020203" pitchFamily="34" charset="0"/>
            </a:endParaRPr>
          </a:p>
        </xdr:txBody>
      </xdr:sp>
      <xdr:sp macro="" textlink="">
        <xdr:nvSpPr>
          <xdr:cNvPr id="127" name="Ellipse 126" descr="3">
            <a:extLst>
              <a:ext uri="{FF2B5EF4-FFF2-40B4-BE49-F238E27FC236}">
                <a16:creationId xmlns:a16="http://schemas.microsoft.com/office/drawing/2014/main" id="{00000000-0008-0000-0600-00007F000000}"/>
              </a:ext>
            </a:extLst>
          </xdr:cNvPr>
          <xdr:cNvSpPr/>
        </xdr:nvSpPr>
        <xdr:spPr>
          <a:xfrm>
            <a:off x="622274" y="8269802"/>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28" name="Schritt" descr="Die Formel SUMME wird nach unten ausgefüllt, sodass Sie sich darum nicht mehr kümmern müssen.">
            <a:extLst>
              <a:ext uri="{FF2B5EF4-FFF2-40B4-BE49-F238E27FC236}">
                <a16:creationId xmlns:a16="http://schemas.microsoft.com/office/drawing/2014/main" id="{00000000-0008-0000-0600-000080000000}"/>
              </a:ext>
            </a:extLst>
          </xdr:cNvPr>
          <xdr:cNvSpPr txBox="1"/>
        </xdr:nvSpPr>
        <xdr:spPr>
          <a:xfrm>
            <a:off x="1029307" y="87404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latin typeface="Segoe UI" panose="020B0502040204020203" pitchFamily="34" charset="0"/>
                <a:cs typeface="Segoe UI" panose="020B0502040204020203" pitchFamily="34" charset="0"/>
              </a:rPr>
              <a:t>Die Formel SUMME wird nach unten ausgefüllt, sodass Sie sich darum nicht mehr kümmern müssen. </a:t>
            </a:r>
          </a:p>
        </xdr:txBody>
      </xdr:sp>
      <xdr:sp macro="" textlink="">
        <xdr:nvSpPr>
          <xdr:cNvPr id="129" name="Ellipse 128" descr="4">
            <a:extLst>
              <a:ext uri="{FF2B5EF4-FFF2-40B4-BE49-F238E27FC236}">
                <a16:creationId xmlns:a16="http://schemas.microsoft.com/office/drawing/2014/main" id="{00000000-0008-0000-0600-000081000000}"/>
              </a:ext>
            </a:extLst>
          </xdr:cNvPr>
          <xdr:cNvSpPr/>
        </xdr:nvSpPr>
        <xdr:spPr>
          <a:xfrm>
            <a:off x="622274" y="875585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30" name="Schritt" descr="Drücken Sie die ALT-Taste und das Gleichheitszeichen.">
            <a:extLst>
              <a:ext uri="{FF2B5EF4-FFF2-40B4-BE49-F238E27FC236}">
                <a16:creationId xmlns:a16="http://schemas.microsoft.com/office/drawing/2014/main" id="{00000000-0008-0000-0600-000082000000}"/>
              </a:ext>
            </a:extLst>
          </xdr:cNvPr>
          <xdr:cNvSpPr txBox="1"/>
        </xdr:nvSpPr>
        <xdr:spPr>
          <a:xfrm>
            <a:off x="1029307" y="7841807"/>
            <a:ext cx="4809517" cy="31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latin typeface="Segoe UI" panose="020B0502040204020203" pitchFamily="34" charset="0"/>
                <a:cs typeface="Segoe UI" panose="020B0502040204020203" pitchFamily="34" charset="0"/>
              </a:rPr>
              <a:t>Drücken Sie</a:t>
            </a:r>
          </a:p>
          <a:p>
            <a:pPr rtl="0"/>
            <a:endParaRPr lang="en-US" sz="1100">
              <a:latin typeface="Segoe UI" panose="020B0502040204020203" pitchFamily="34" charset="0"/>
              <a:cs typeface="Segoe UI" panose="020B0502040204020203" pitchFamily="34" charset="0"/>
            </a:endParaRPr>
          </a:p>
        </xdr:txBody>
      </xdr:sp>
      <xdr:sp macro="" textlink="">
        <xdr:nvSpPr>
          <xdr:cNvPr id="131" name="Ellipse 130" descr="2">
            <a:extLst>
              <a:ext uri="{FF2B5EF4-FFF2-40B4-BE49-F238E27FC236}">
                <a16:creationId xmlns:a16="http://schemas.microsoft.com/office/drawing/2014/main" id="{00000000-0008-0000-0600-000083000000}"/>
              </a:ext>
            </a:extLst>
          </xdr:cNvPr>
          <xdr:cNvSpPr/>
        </xdr:nvSpPr>
        <xdr:spPr>
          <a:xfrm>
            <a:off x="622274" y="7800074"/>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16" name="Rechteck: Abgerundete Ecken 115" descr="EINGABETASTE">
            <a:extLst>
              <a:ext uri="{FF2B5EF4-FFF2-40B4-BE49-F238E27FC236}">
                <a16:creationId xmlns:a16="http://schemas.microsoft.com/office/drawing/2014/main" id="{00000000-0008-0000-0600-000074000000}"/>
              </a:ext>
            </a:extLst>
          </xdr:cNvPr>
          <xdr:cNvSpPr/>
        </xdr:nvSpPr>
        <xdr:spPr>
          <a:xfrm>
            <a:off x="1919353" y="8324409"/>
            <a:ext cx="776221"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EINGABE</a:t>
            </a:r>
          </a:p>
        </xdr:txBody>
      </xdr:sp>
      <xdr:sp macro="" textlink="">
        <xdr:nvSpPr>
          <xdr:cNvPr id="117" name="Rechteck: Abgerundete Ecken 116" descr="ALT-Taste">
            <a:extLst>
              <a:ext uri="{FF2B5EF4-FFF2-40B4-BE49-F238E27FC236}">
                <a16:creationId xmlns:a16="http://schemas.microsoft.com/office/drawing/2014/main" id="{00000000-0008-0000-0600-000075000000}"/>
              </a:ext>
            </a:extLst>
          </xdr:cNvPr>
          <xdr:cNvSpPr/>
        </xdr:nvSpPr>
        <xdr:spPr>
          <a:xfrm>
            <a:off x="1909829" y="785468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hteck: Abgerundete Ecken 117" descr="Gleichheitszeichen-Taste">
            <a:extLst>
              <a:ext uri="{FF2B5EF4-FFF2-40B4-BE49-F238E27FC236}">
                <a16:creationId xmlns:a16="http://schemas.microsoft.com/office/drawing/2014/main" id="{00000000-0008-0000-0600-000076000000}"/>
              </a:ext>
            </a:extLst>
          </xdr:cNvPr>
          <xdr:cNvSpPr/>
        </xdr:nvSpPr>
        <xdr:spPr>
          <a:xfrm>
            <a:off x="2454231" y="785468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495300</xdr:colOff>
      <xdr:row>64</xdr:row>
      <xdr:rowOff>152399</xdr:rowOff>
    </xdr:to>
    <xdr:grpSp>
      <xdr:nvGrpSpPr>
        <xdr:cNvPr id="10" name="Gruppieren 9" descr="WISSENSWERTES&#10;Es gibt eine Tastenkombination zum Ein- und Ausblenden der Ergebniszeile. Klicken Sie auf eine Zelle innerhalb der Tabelle, und drücken Sie dann STRG+UMSCHALT+T.&#10;">
          <a:extLst>
            <a:ext uri="{FF2B5EF4-FFF2-40B4-BE49-F238E27FC236}">
              <a16:creationId xmlns:a16="http://schemas.microsoft.com/office/drawing/2014/main" id="{BFEA1FE4-89AC-4625-8F8A-07828BBC6514}"/>
            </a:ext>
          </a:extLst>
        </xdr:cNvPr>
        <xdr:cNvGrpSpPr/>
      </xdr:nvGrpSpPr>
      <xdr:grpSpPr>
        <a:xfrm>
          <a:off x="9930765" y="11517630"/>
          <a:ext cx="2366010" cy="1398269"/>
          <a:chOff x="8753475" y="11934825"/>
          <a:chExt cx="2305050" cy="1400174"/>
        </a:xfrm>
      </xdr:grpSpPr>
      <xdr:sp macro="" textlink="">
        <xdr:nvSpPr>
          <xdr:cNvPr id="132" name="Schritt" descr="WISSENSWERTES&#10;Es gibt eine Tastenkombination zum Ein- und Ausblenden der Ergebniszeile. Klicken Sie auf eine Zelle innerhalb der Tabelle, und drücken Sie dann STRG+UMSCHALT+T.&#10;">
            <a:extLst>
              <a:ext uri="{FF2B5EF4-FFF2-40B4-BE49-F238E27FC236}">
                <a16:creationId xmlns:a16="http://schemas.microsoft.com/office/drawing/2014/main" id="{00000000-0008-0000-0600-000084000000}"/>
              </a:ext>
            </a:extLst>
          </xdr:cNvPr>
          <xdr:cNvSpPr txBox="1"/>
        </xdr:nvSpPr>
        <xdr:spPr>
          <a:xfrm>
            <a:off x="9041105" y="11969832"/>
            <a:ext cx="2017420" cy="136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Es gibt eine Tastenkombination zum Ein- und Ausblenden der Ergebniszeile. Klicken Sie auf eine Zelle innerhalb der Tabelle, und drücken Sie dann</a:t>
            </a:r>
            <a:r>
              <a:rPr lang="de" sz="1100" kern="0" baseline="0">
                <a:solidFill>
                  <a:schemeClr val="bg2">
                    <a:lumMod val="25000"/>
                  </a:schemeClr>
                </a:solidFill>
                <a:ea typeface="Segoe UI" pitchFamily="34" charset="0"/>
                <a:cs typeface="Segoe UI Light" panose="020B0502040204020203" pitchFamily="34" charset="0"/>
              </a:rPr>
              <a:t> STRG+UMSCHALT+T.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fik 147" descr="Brille">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419101</xdr:colOff>
      <xdr:row>15</xdr:row>
      <xdr:rowOff>114298</xdr:rowOff>
    </xdr:from>
    <xdr:to>
      <xdr:col>8</xdr:col>
      <xdr:colOff>200028</xdr:colOff>
      <xdr:row>24</xdr:row>
      <xdr:rowOff>85724</xdr:rowOff>
    </xdr:to>
    <xdr:grpSp>
      <xdr:nvGrpSpPr>
        <xdr:cNvPr id="9" name="Gruppe 8" descr="BONUSAUFGABE&#10;Versuchen Sie, die Formatvorlage der Tabelle zu ändern. Klicken Sie zuerst in die Tabelle, dann wird am oberen Rand von Excel die Registerkarte Tabellentools Entwurf angezeigt. Klicken Sie auf diese Registerkarte, und wählen Sie dann eine Formatvorlage aus, die Ihnen gefällt.&#10;">
          <a:extLst>
            <a:ext uri="{FF2B5EF4-FFF2-40B4-BE49-F238E27FC236}">
              <a16:creationId xmlns:a16="http://schemas.microsoft.com/office/drawing/2014/main" id="{C3D35DA7-926B-43B9-BEF0-4CF9BDBC13F3}"/>
            </a:ext>
          </a:extLst>
        </xdr:cNvPr>
        <xdr:cNvGrpSpPr/>
      </xdr:nvGrpSpPr>
      <xdr:grpSpPr>
        <a:xfrm>
          <a:off x="8353426" y="3543298"/>
          <a:ext cx="3649982" cy="1687831"/>
          <a:chOff x="7705214" y="3790949"/>
          <a:chExt cx="2921025" cy="1868895"/>
        </a:xfrm>
      </xdr:grpSpPr>
      <xdr:sp macro="" textlink="">
        <xdr:nvSpPr>
          <xdr:cNvPr id="136" name="Schritt" descr="BONUSAUFGABE&#10;Versuchen Sie, die Formatvorlage der Tabelle zu ändern. Klicken Sie zuerst in die Tabelle, dann wird am oberen Rand von Excel die Registerkarte Tabellentools Entwurf angezeigt. Klicken Sie auf diese Registerkarte, und wählen Sie dann eine Formatvorlage aus, die Ihnen gefällt.&#10;">
            <a:extLst>
              <a:ext uri="{FF2B5EF4-FFF2-40B4-BE49-F238E27FC236}">
                <a16:creationId xmlns:a16="http://schemas.microsoft.com/office/drawing/2014/main" id="{00000000-0008-0000-0600-000088000000}"/>
              </a:ext>
            </a:extLst>
          </xdr:cNvPr>
          <xdr:cNvSpPr txBox="1"/>
        </xdr:nvSpPr>
        <xdr:spPr>
          <a:xfrm>
            <a:off x="8008156" y="3790949"/>
            <a:ext cx="2618083" cy="186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BONUSAUFGABE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Versuchen Sie, die Formatvorlage der Tabelle zu ändern. Klicken Sie zuerst in die Tabelle,</a:t>
            </a:r>
            <a:r>
              <a:rPr lang="de" sz="1100" kern="0" baseline="0">
                <a:solidFill>
                  <a:schemeClr val="bg2">
                    <a:lumMod val="25000"/>
                  </a:schemeClr>
                </a:solidFill>
                <a:ea typeface="Segoe UI" pitchFamily="34" charset="0"/>
                <a:cs typeface="Segoe UI Light" panose="020B0502040204020203" pitchFamily="34" charset="0"/>
              </a:rPr>
              <a:t> dann wird am oberen Rand von Excel die Registerkarte </a:t>
            </a:r>
            <a:r>
              <a:rPr lang="de" sz="1100" b="1" kern="0" baseline="0">
                <a:solidFill>
                  <a:schemeClr val="bg2">
                    <a:lumMod val="25000"/>
                  </a:schemeClr>
                </a:solidFill>
                <a:ea typeface="Segoe UI" pitchFamily="34" charset="0"/>
                <a:cs typeface="Segoe UI Light" panose="020B0502040204020203" pitchFamily="34" charset="0"/>
              </a:rPr>
              <a:t>Tabellenentwurf</a:t>
            </a:r>
            <a:r>
              <a:rPr lang="de" sz="1100" kern="0" baseline="0">
                <a:solidFill>
                  <a:schemeClr val="bg2">
                    <a:lumMod val="25000"/>
                  </a:schemeClr>
                </a:solidFill>
                <a:ea typeface="Segoe UI" pitchFamily="34" charset="0"/>
                <a:cs typeface="Segoe UI Light" panose="020B0502040204020203" pitchFamily="34" charset="0"/>
              </a:rPr>
              <a:t> angezeigt. Klicken Sie auf diese Registerkarte, und wählen Sie dann eine Formatvorlage aus, die Ihnen gefällt.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fik 263" descr="Menüband">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705214" y="3845776"/>
            <a:ext cx="415076" cy="439736"/>
          </a:xfrm>
          <a:prstGeom prst="rect">
            <a:avLst/>
          </a:prstGeom>
        </xdr:spPr>
      </xdr:pic>
    </xdr:grpSp>
    <xdr:clientData/>
  </xdr:twoCellAnchor>
  <xdr:twoCellAnchor editAs="oneCell">
    <xdr:from>
      <xdr:col>2</xdr:col>
      <xdr:colOff>428625</xdr:colOff>
      <xdr:row>41</xdr:row>
      <xdr:rowOff>104775</xdr:rowOff>
    </xdr:from>
    <xdr:to>
      <xdr:col>7</xdr:col>
      <xdr:colOff>238124</xdr:colOff>
      <xdr:row>48</xdr:row>
      <xdr:rowOff>180975</xdr:rowOff>
    </xdr:to>
    <xdr:grpSp>
      <xdr:nvGrpSpPr>
        <xdr:cNvPr id="4" name="EINFACH AUSPROBIEREN" descr="EINFACH AUSPROBIEREN: Nachdem Sie die berechnete Spalte eingefügt haben, versuchen Sie, den Wert einer der Zellen in dieser Spalte zu überschreiben. Was passiert? Wenn ein grünes Dreieck angezeigt wird, klicken Sie darauf, und klicken Sie dann auf das Ausrufezeichen. Sie sehen, dass Excel ein Auge auf Sie hat...">
          <a:extLst>
            <a:ext uri="{FF2B5EF4-FFF2-40B4-BE49-F238E27FC236}">
              <a16:creationId xmlns:a16="http://schemas.microsoft.com/office/drawing/2014/main" id="{00000000-0008-0000-0600-000004000000}"/>
            </a:ext>
          </a:extLst>
        </xdr:cNvPr>
        <xdr:cNvGrpSpPr/>
      </xdr:nvGrpSpPr>
      <xdr:grpSpPr>
        <a:xfrm>
          <a:off x="6983730" y="8484870"/>
          <a:ext cx="4295774" cy="1409700"/>
          <a:chOff x="6800850" y="8905875"/>
          <a:chExt cx="4162424" cy="1409700"/>
        </a:xfrm>
      </xdr:grpSpPr>
      <xdr:pic>
        <xdr:nvPicPr>
          <xdr:cNvPr id="138" name="Grafik 96" descr="Glaskolben">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chritt" descr="EINFACH AUSPROBIEREN&#10;Nachdem Sie die berechnete Spalte eingefügt haben, versuchen Sie, den Wert einer der Zellen in dieser Spalte zu überschreiben. Was geschieht? Wenn Sie ein grünes Dreieck angezeigt wird, klicken Sie darauf, und klicken Sie dann auf das Ausrufezeichen. Sie sehen, dass Excel ein Auge auf Sie hat...&#10;">
            <a:extLst>
              <a:ext uri="{FF2B5EF4-FFF2-40B4-BE49-F238E27FC236}">
                <a16:creationId xmlns:a16="http://schemas.microsoft.com/office/drawing/2014/main" id="{00000000-0008-0000-0600-00008B000000}"/>
              </a:ext>
            </a:extLst>
          </xdr:cNvPr>
          <xdr:cNvSpPr txBox="1"/>
        </xdr:nvSpPr>
        <xdr:spPr>
          <a:xfrm>
            <a:off x="7150905" y="8905875"/>
            <a:ext cx="3812369" cy="1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EINFACH AUSPROBIEREN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Nachdem</a:t>
            </a:r>
            <a:r>
              <a:rPr lang="de" sz="1100" kern="0" baseline="0">
                <a:solidFill>
                  <a:schemeClr val="bg2">
                    <a:lumMod val="25000"/>
                  </a:schemeClr>
                </a:solidFill>
                <a:ea typeface="Segoe UI" pitchFamily="34" charset="0"/>
                <a:cs typeface="Segoe UI Light" panose="020B0502040204020203" pitchFamily="34" charset="0"/>
              </a:rPr>
              <a:t> Sie die berechnete Spalte eingefügt haben, versuchen Sie, den Wert einer der Zellen in dieser Spalte zu überschreiben. Was geschieht? Wenn Sie ein grünes Dreieck angezeigt wird, klicken Sie darauf, und klicken Sie dann auf das Ausrufezeichen. Sie sehen, dass Excel ein Auge auf Sie hat...</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161924</xdr:rowOff>
    </xdr:from>
    <xdr:to>
      <xdr:col>1</xdr:col>
      <xdr:colOff>5238750</xdr:colOff>
      <xdr:row>71</xdr:row>
      <xdr:rowOff>9524</xdr:rowOff>
    </xdr:to>
    <xdr:grpSp>
      <xdr:nvGrpSpPr>
        <xdr:cNvPr id="3" name="Ergebniszeilen in Tabellen"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2430" y="9307829"/>
          <a:ext cx="5709285" cy="4800600"/>
          <a:chOff x="390525" y="9801226"/>
          <a:chExt cx="5695950" cy="4770906"/>
        </a:xfrm>
      </xdr:grpSpPr>
      <xdr:sp macro="" textlink="">
        <xdr:nvSpPr>
          <xdr:cNvPr id="141" name="Rechteck 140" descr="Hintergrund">
            <a:extLst>
              <a:ext uri="{FF2B5EF4-FFF2-40B4-BE49-F238E27FC236}">
                <a16:creationId xmlns:a16="http://schemas.microsoft.com/office/drawing/2014/main" id="{00000000-0008-0000-0600-00008D000000}"/>
              </a:ext>
            </a:extLst>
          </xdr:cNvPr>
          <xdr:cNvSpPr/>
        </xdr:nvSpPr>
        <xdr:spPr>
          <a:xfrm>
            <a:off x="390525" y="9801226"/>
            <a:ext cx="5695950" cy="477090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Schritt" descr="Ergebniszeilen in Tabellen">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Ergebniszeilen in Tabellen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Gerader Verbinder 142" descr="Dekorative Lini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chritt" descr="Eine weitere Annehmlichkeit in Tabellen sind Ergebniszeilen. Nicht Sie müssen eine SUMME-Formel eingeben, sondern Excel kann diese Summe für Sie berechnen, einfach durch Umlegen eines Schalters. Und das Gleiche gilt für die Formel MITTELWERT und viele weitere Formeln. Und so funktioniert es:">
            <a:extLst>
              <a:ext uri="{FF2B5EF4-FFF2-40B4-BE49-F238E27FC236}">
                <a16:creationId xmlns:a16="http://schemas.microsoft.com/office/drawing/2014/main" id="{00000000-0008-0000-0600-000090000000}"/>
              </a:ext>
            </a:extLst>
          </xdr:cNvPr>
          <xdr:cNvSpPr txBox="1"/>
        </xdr:nvSpPr>
        <xdr:spPr>
          <a:xfrm>
            <a:off x="619125" y="10510470"/>
            <a:ext cx="5300938" cy="852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Eine weitere Annehmlichkeit in Tabellen sind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Ergebniszeilen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Nicht Sie müssen eine SUMME-Formel eingeben, sondern Excel kann diese Summe für Sie berechnen, einfach durch Umlegen eines Schalters. Und das Gleiche gilt für die Formel MITTELWERT und viele weitere Formeln. Und so funktioniert es:</a:t>
            </a:r>
          </a:p>
        </xdr:txBody>
      </xdr:sp>
      <xdr:sp macro="" textlink="">
        <xdr:nvSpPr>
          <xdr:cNvPr id="145" name="Schritt" descr="Wählen Sie in der Tabelle auf der rechten Seite eine beliebige Zelle aus.">
            <a:extLst>
              <a:ext uri="{FF2B5EF4-FFF2-40B4-BE49-F238E27FC236}">
                <a16:creationId xmlns:a16="http://schemas.microsoft.com/office/drawing/2014/main" id="{00000000-0008-0000-0600-000091000000}"/>
              </a:ext>
            </a:extLst>
          </xdr:cNvPr>
          <xdr:cNvSpPr txBox="1"/>
        </xdr:nvSpPr>
        <xdr:spPr>
          <a:xfrm>
            <a:off x="1029308" y="11383068"/>
            <a:ext cx="4809516" cy="30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Wählen Sie in der Tabelle auf der rechten Seite eine beliebige Zelle aus.</a:t>
            </a:r>
          </a:p>
        </xdr:txBody>
      </xdr:sp>
      <xdr:sp macro="" textlink="">
        <xdr:nvSpPr>
          <xdr:cNvPr id="146" name="Ellipse 145" descr="1">
            <a:extLst>
              <a:ext uri="{FF2B5EF4-FFF2-40B4-BE49-F238E27FC236}">
                <a16:creationId xmlns:a16="http://schemas.microsoft.com/office/drawing/2014/main" id="{00000000-0008-0000-0600-000092000000}"/>
              </a:ext>
            </a:extLst>
          </xdr:cNvPr>
          <xdr:cNvSpPr/>
        </xdr:nvSpPr>
        <xdr:spPr>
          <a:xfrm>
            <a:off x="622274" y="113311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47" name="Schritt" descr="Klicken Sie auf dieser Registerkarte auf &quot;Ergebniszeile&quot;.">
            <a:extLst>
              <a:ext uri="{FF2B5EF4-FFF2-40B4-BE49-F238E27FC236}">
                <a16:creationId xmlns:a16="http://schemas.microsoft.com/office/drawing/2014/main" id="{00000000-0008-0000-0600-000093000000}"/>
              </a:ext>
            </a:extLst>
          </xdr:cNvPr>
          <xdr:cNvSpPr txBox="1"/>
        </xdr:nvSpPr>
        <xdr:spPr>
          <a:xfrm>
            <a:off x="1029307" y="12342436"/>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auf dieser Registerkarte auf </a:t>
            </a:r>
            <a:r>
              <a:rPr lang="de" sz="1100" b="1">
                <a:solidFill>
                  <a:schemeClr val="tx1">
                    <a:lumMod val="75000"/>
                    <a:lumOff val="25000"/>
                  </a:schemeClr>
                </a:solidFill>
                <a:latin typeface="Segoe UI" panose="020B0502040204020203" pitchFamily="34" charset="0"/>
                <a:cs typeface="Segoe UI" panose="020B0502040204020203" pitchFamily="34" charset="0"/>
              </a:rPr>
              <a:t>Ergebniszeile</a:t>
            </a:r>
            <a:r>
              <a:rPr lang="de"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48" name="Ellipse 147" descr="3">
            <a:extLst>
              <a:ext uri="{FF2B5EF4-FFF2-40B4-BE49-F238E27FC236}">
                <a16:creationId xmlns:a16="http://schemas.microsoft.com/office/drawing/2014/main" id="{00000000-0008-0000-0600-000094000000}"/>
              </a:ext>
            </a:extLst>
          </xdr:cNvPr>
          <xdr:cNvSpPr/>
        </xdr:nvSpPr>
        <xdr:spPr>
          <a:xfrm>
            <a:off x="622274" y="1229993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49" name="Schritt" descr="Die Summe von 24.000 € wird am Ende der Tabelle hinzugefügt.">
            <a:extLst>
              <a:ext uri="{FF2B5EF4-FFF2-40B4-BE49-F238E27FC236}">
                <a16:creationId xmlns:a16="http://schemas.microsoft.com/office/drawing/2014/main" id="{00000000-0008-0000-0600-000095000000}"/>
              </a:ext>
            </a:extLst>
          </xdr:cNvPr>
          <xdr:cNvSpPr txBox="1"/>
        </xdr:nvSpPr>
        <xdr:spPr>
          <a:xfrm>
            <a:off x="1029307" y="12825202"/>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Die Summe von </a:t>
            </a:r>
            <a:r>
              <a:rPr lang="de" sz="1100" b="1">
                <a:solidFill>
                  <a:schemeClr val="tx1">
                    <a:lumMod val="75000"/>
                    <a:lumOff val="25000"/>
                  </a:schemeClr>
                </a:solidFill>
                <a:latin typeface="Segoe UI" panose="020B0502040204020203" pitchFamily="34" charset="0"/>
                <a:cs typeface="Segoe UI" panose="020B0502040204020203" pitchFamily="34" charset="0"/>
              </a:rPr>
              <a:t>24.000 €</a:t>
            </a:r>
            <a:r>
              <a:rPr lang="de" sz="1100">
                <a:solidFill>
                  <a:schemeClr val="tx1">
                    <a:lumMod val="75000"/>
                    <a:lumOff val="25000"/>
                  </a:schemeClr>
                </a:solidFill>
                <a:latin typeface="Segoe UI" panose="020B0502040204020203" pitchFamily="34" charset="0"/>
                <a:cs typeface="Segoe UI" panose="020B0502040204020203" pitchFamily="34" charset="0"/>
              </a:rPr>
              <a:t> wird am Ende der Tabelle hinzugefügt. </a:t>
            </a:r>
          </a:p>
        </xdr:txBody>
      </xdr:sp>
      <xdr:sp macro="" textlink="">
        <xdr:nvSpPr>
          <xdr:cNvPr id="150" name="Ellipse 149" descr="4">
            <a:extLst>
              <a:ext uri="{FF2B5EF4-FFF2-40B4-BE49-F238E27FC236}">
                <a16:creationId xmlns:a16="http://schemas.microsoft.com/office/drawing/2014/main" id="{00000000-0008-0000-0600-000096000000}"/>
              </a:ext>
            </a:extLst>
          </xdr:cNvPr>
          <xdr:cNvSpPr/>
        </xdr:nvSpPr>
        <xdr:spPr>
          <a:xfrm>
            <a:off x="622274" y="127827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51" name="Schritt" descr="Oben im Excel-Fenster wird die Registerkarte &quot;Tabellentools Entwurf&quot; angezeigt.">
            <a:extLst>
              <a:ext uri="{FF2B5EF4-FFF2-40B4-BE49-F238E27FC236}">
                <a16:creationId xmlns:a16="http://schemas.microsoft.com/office/drawing/2014/main" id="{00000000-0008-0000-0600-000097000000}"/>
              </a:ext>
            </a:extLst>
          </xdr:cNvPr>
          <xdr:cNvSpPr txBox="1"/>
        </xdr:nvSpPr>
        <xdr:spPr>
          <a:xfrm>
            <a:off x="1029307" y="11798435"/>
            <a:ext cx="4809517" cy="501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Oben im Excel-Fenster wird die Registerkarte </a:t>
            </a:r>
            <a:r>
              <a:rPr lang="de" sz="1100" b="1">
                <a:solidFill>
                  <a:schemeClr val="tx1">
                    <a:lumMod val="75000"/>
                    <a:lumOff val="25000"/>
                  </a:schemeClr>
                </a:solidFill>
                <a:latin typeface="Segoe UI" panose="020B0502040204020203" pitchFamily="34" charset="0"/>
                <a:cs typeface="Segoe UI" panose="020B0502040204020203" pitchFamily="34" charset="0"/>
              </a:rPr>
              <a:t>Tabellenentwurf </a:t>
            </a:r>
            <a:r>
              <a:rPr lang="de" sz="1100">
                <a:solidFill>
                  <a:schemeClr val="tx1">
                    <a:lumMod val="75000"/>
                    <a:lumOff val="25000"/>
                  </a:schemeClr>
                </a:solidFill>
                <a:latin typeface="Segoe UI" panose="020B0502040204020203" pitchFamily="34" charset="0"/>
                <a:cs typeface="Segoe UI" panose="020B0502040204020203" pitchFamily="34" charset="0"/>
              </a:rPr>
              <a:t>angezeigt. </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2" name="Ellipse 151" descr="2">
            <a:extLst>
              <a:ext uri="{FF2B5EF4-FFF2-40B4-BE49-F238E27FC236}">
                <a16:creationId xmlns:a16="http://schemas.microsoft.com/office/drawing/2014/main" id="{00000000-0008-0000-0600-000098000000}"/>
              </a:ext>
            </a:extLst>
          </xdr:cNvPr>
          <xdr:cNvSpPr/>
        </xdr:nvSpPr>
        <xdr:spPr>
          <a:xfrm>
            <a:off x="622274" y="118127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53" name="Schritt" descr="Und wie können Sie vorgehen, um den Mittelwert zu bestimmen? Klicken Sie auf die Zelle mit &quot;24.000 €&quot;.">
            <a:extLst>
              <a:ext uri="{FF2B5EF4-FFF2-40B4-BE49-F238E27FC236}">
                <a16:creationId xmlns:a16="http://schemas.microsoft.com/office/drawing/2014/main" id="{00000000-0008-0000-0600-000099000000}"/>
              </a:ext>
            </a:extLst>
          </xdr:cNvPr>
          <xdr:cNvSpPr txBox="1"/>
        </xdr:nvSpPr>
        <xdr:spPr>
          <a:xfrm>
            <a:off x="1029307" y="13285034"/>
            <a:ext cx="4809517" cy="539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Und wie können Sie vorgehen, um den Mittelwert zu bestimmen? Klicken Sie auf die Zelle mit </a:t>
            </a:r>
            <a:r>
              <a:rPr lang="de" sz="1100" b="1">
                <a:solidFill>
                  <a:schemeClr val="tx1">
                    <a:lumMod val="75000"/>
                    <a:lumOff val="25000"/>
                  </a:schemeClr>
                </a:solidFill>
                <a:latin typeface="Segoe UI" panose="020B0502040204020203" pitchFamily="34" charset="0"/>
                <a:cs typeface="Segoe UI" panose="020B0502040204020203" pitchFamily="34" charset="0"/>
              </a:rPr>
              <a:t>24.000 €</a:t>
            </a:r>
            <a:r>
              <a:rPr lang="de"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4" name="Ellipse 153" descr="5">
            <a:extLst>
              <a:ext uri="{FF2B5EF4-FFF2-40B4-BE49-F238E27FC236}">
                <a16:creationId xmlns:a16="http://schemas.microsoft.com/office/drawing/2014/main" id="{00000000-0008-0000-0600-00009A000000}"/>
              </a:ext>
            </a:extLst>
          </xdr:cNvPr>
          <xdr:cNvSpPr/>
        </xdr:nvSpPr>
        <xdr:spPr>
          <a:xfrm>
            <a:off x="622274" y="13270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sp macro="" textlink="">
        <xdr:nvSpPr>
          <xdr:cNvPr id="155" name="Schritt" descr="Klicken Sie auf den Pfeil nach unten, und klicken Sie dann auf Mittelwert. Der Durchschnittsbetrag von 3.000 € wird angezeigt.">
            <a:extLst>
              <a:ext uri="{FF2B5EF4-FFF2-40B4-BE49-F238E27FC236}">
                <a16:creationId xmlns:a16="http://schemas.microsoft.com/office/drawing/2014/main" id="{00000000-0008-0000-0600-00009B000000}"/>
              </a:ext>
            </a:extLst>
          </xdr:cNvPr>
          <xdr:cNvSpPr txBox="1"/>
        </xdr:nvSpPr>
        <xdr:spPr>
          <a:xfrm>
            <a:off x="1029307" y="13738506"/>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auf den Pfeil nach </a:t>
            </a:r>
            <a:r>
              <a:rPr lang="de" sz="1100" b="0">
                <a:solidFill>
                  <a:schemeClr val="tx1">
                    <a:lumMod val="75000"/>
                    <a:lumOff val="25000"/>
                  </a:schemeClr>
                </a:solidFill>
                <a:latin typeface="Segoe UI" panose="020B0502040204020203" pitchFamily="34" charset="0"/>
                <a:cs typeface="Segoe UI" panose="020B0502040204020203" pitchFamily="34" charset="0"/>
              </a:rPr>
              <a:t>unten</a:t>
            </a:r>
            <a:r>
              <a:rPr lang="de" sz="1100" b="0" baseline="0">
                <a:solidFill>
                  <a:schemeClr val="tx1">
                    <a:lumMod val="75000"/>
                    <a:lumOff val="25000"/>
                  </a:schemeClr>
                </a:solidFill>
                <a:latin typeface="Segoe UI" panose="020B0502040204020203" pitchFamily="34" charset="0"/>
                <a:cs typeface="Segoe UI" panose="020B0502040204020203" pitchFamily="34" charset="0"/>
              </a:rPr>
              <a:t>     </a:t>
            </a:r>
            <a:r>
              <a:rPr lang="de" sz="1100" b="0">
                <a:solidFill>
                  <a:schemeClr val="tx1">
                    <a:lumMod val="75000"/>
                    <a:lumOff val="25000"/>
                  </a:schemeClr>
                </a:solidFill>
                <a:latin typeface="Segoe UI" panose="020B0502040204020203" pitchFamily="34" charset="0"/>
                <a:cs typeface="Segoe UI" panose="020B0502040204020203" pitchFamily="34" charset="0"/>
              </a:rPr>
              <a:t>  und dann auf </a:t>
            </a:r>
            <a:r>
              <a:rPr lang="de" sz="1100" b="1">
                <a:solidFill>
                  <a:schemeClr val="tx1">
                    <a:lumMod val="75000"/>
                    <a:lumOff val="25000"/>
                  </a:schemeClr>
                </a:solidFill>
                <a:latin typeface="Segoe UI" panose="020B0502040204020203" pitchFamily="34" charset="0"/>
                <a:cs typeface="Segoe UI" panose="020B0502040204020203" pitchFamily="34" charset="0"/>
              </a:rPr>
              <a:t>Mittelwert</a:t>
            </a:r>
            <a:r>
              <a:rPr lang="de" sz="1100">
                <a:solidFill>
                  <a:schemeClr val="tx1">
                    <a:lumMod val="75000"/>
                    <a:lumOff val="25000"/>
                  </a:schemeClr>
                </a:solidFill>
                <a:latin typeface="Segoe UI" panose="020B0502040204020203" pitchFamily="34" charset="0"/>
                <a:cs typeface="Segoe UI" panose="020B0502040204020203" pitchFamily="34" charset="0"/>
              </a:rPr>
              <a:t>. Der Durchschnittsbetrag von </a:t>
            </a:r>
            <a:r>
              <a:rPr lang="de" sz="1100" b="1">
                <a:solidFill>
                  <a:schemeClr val="tx1">
                    <a:lumMod val="75000"/>
                    <a:lumOff val="25000"/>
                  </a:schemeClr>
                </a:solidFill>
                <a:latin typeface="Segoe UI" panose="020B0502040204020203" pitchFamily="34" charset="0"/>
                <a:cs typeface="Segoe UI" panose="020B0502040204020203" pitchFamily="34" charset="0"/>
              </a:rPr>
              <a:t>3.000 €</a:t>
            </a:r>
            <a:r>
              <a:rPr lang="de" sz="1100">
                <a:solidFill>
                  <a:schemeClr val="tx1">
                    <a:lumMod val="75000"/>
                    <a:lumOff val="25000"/>
                  </a:schemeClr>
                </a:solidFill>
                <a:latin typeface="Segoe UI" panose="020B0502040204020203" pitchFamily="34" charset="0"/>
                <a:cs typeface="Segoe UI" panose="020B0502040204020203" pitchFamily="34" charset="0"/>
              </a:rPr>
              <a:t> wird angezeigt.</a:t>
            </a:r>
          </a:p>
        </xdr:txBody>
      </xdr:sp>
      <xdr:sp macro="" textlink="">
        <xdr:nvSpPr>
          <xdr:cNvPr id="156" name="Ellipse 155" descr="6">
            <a:extLst>
              <a:ext uri="{FF2B5EF4-FFF2-40B4-BE49-F238E27FC236}">
                <a16:creationId xmlns:a16="http://schemas.microsoft.com/office/drawing/2014/main" id="{00000000-0008-0000-0600-00009C000000}"/>
              </a:ext>
            </a:extLst>
          </xdr:cNvPr>
          <xdr:cNvSpPr/>
        </xdr:nvSpPr>
        <xdr:spPr>
          <a:xfrm>
            <a:off x="622274" y="13752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6</a:t>
            </a:r>
          </a:p>
        </xdr:txBody>
      </xdr:sp>
      <xdr:cxnSp macro="">
        <xdr:nvCxnSpPr>
          <xdr:cNvPr id="157" name="Gerader Verbinder 156" descr="Dekorative Linie">
            <a:extLst>
              <a:ext uri="{FF2B5EF4-FFF2-40B4-BE49-F238E27FC236}">
                <a16:creationId xmlns:a16="http://schemas.microsoft.com/office/drawing/2014/main" id="{00000000-0008-0000-0600-00009D000000}"/>
              </a:ext>
            </a:extLst>
          </xdr:cNvPr>
          <xdr:cNvCxnSpPr>
            <a:cxnSpLocks/>
          </xdr:cNvCxnSpPr>
        </xdr:nvCxnSpPr>
        <xdr:spPr>
          <a:xfrm>
            <a:off x="625449" y="1436938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Bild 157" descr="Pfeil nach unten">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3361311" y="13812359"/>
            <a:ext cx="158075" cy="154021"/>
          </a:xfrm>
          <a:prstGeom prst="rect">
            <a:avLst/>
          </a:prstGeom>
        </xdr:spPr>
      </xdr:pic>
    </xdr:grpSp>
    <xdr:clientData/>
  </xdr:twoCellAnchor>
  <xdr:twoCellAnchor editAs="oneCell">
    <xdr:from>
      <xdr:col>0</xdr:col>
      <xdr:colOff>385765</xdr:colOff>
      <xdr:row>71</xdr:row>
      <xdr:rowOff>180975</xdr:rowOff>
    </xdr:from>
    <xdr:to>
      <xdr:col>1</xdr:col>
      <xdr:colOff>5233990</xdr:colOff>
      <xdr:row>89</xdr:row>
      <xdr:rowOff>98823</xdr:rowOff>
    </xdr:to>
    <xdr:grpSp>
      <xdr:nvGrpSpPr>
        <xdr:cNvPr id="2" name="Mehr im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7670" y="14276070"/>
          <a:ext cx="5716905" cy="3344943"/>
          <a:chOff x="385765" y="14586347"/>
          <a:chExt cx="5695950" cy="3267075"/>
        </a:xfrm>
      </xdr:grpSpPr>
      <xdr:sp macro="" textlink="">
        <xdr:nvSpPr>
          <xdr:cNvPr id="160" name="Rechteck 159" descr="Hintergr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1" name="Schritt" descr="Weitere Informationen im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Gerader Verbinder 161" descr="Dekorative Lini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Schaltfläche &quot;Weiter&quot;" descr="Zurück zum Anfang, mit Link zur Zelle A1">
            <a:hlinkClick xmlns:r="http://schemas.openxmlformats.org/officeDocument/2006/relationships" r:id="rId11" tooltip="Auswählen, um zur Zelle A1 auf diesem Arbeitsblatt zu gelangen"/>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64" name="Gerader Verbinder 163" descr="Dekorative Lini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600-0000A5000000}"/>
              </a:ext>
            </a:extLst>
          </xdr:cNvPr>
          <xdr:cNvSpPr/>
        </xdr:nvSpPr>
        <xdr:spPr>
          <a:xfrm>
            <a:off x="4371975" y="17279624"/>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66" name="Schritt" descr="Übersicht zu Excel-Tabellen, mit Link ins Web">
            <a:hlinkClick xmlns:r="http://schemas.openxmlformats.org/officeDocument/2006/relationships" r:id="rId12" tooltip="Auswählen, um eine Übersicht aus dem Web zu Excel-Tabellen anzuzeigen"/>
            <a:extLst>
              <a:ext uri="{FF2B5EF4-FFF2-40B4-BE49-F238E27FC236}">
                <a16:creationId xmlns:a16="http://schemas.microsoft.com/office/drawing/2014/main" id="{00000000-0008-0000-0600-0000A6000000}"/>
              </a:ext>
            </a:extLst>
          </xdr:cNvPr>
          <xdr:cNvSpPr txBox="1"/>
        </xdr:nvSpPr>
        <xdr:spPr>
          <a:xfrm>
            <a:off x="1024547" y="15381196"/>
            <a:ext cx="309977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Übersicht zu Excel-Tabellen</a:t>
            </a:r>
          </a:p>
        </xdr:txBody>
      </xdr:sp>
      <xdr:pic>
        <xdr:nvPicPr>
          <xdr:cNvPr id="167"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chritt" descr="Ermitteln von Ergebnissen in einer Excel-Tabelle, mit Link ins Web">
            <a:hlinkClick xmlns:r="http://schemas.openxmlformats.org/officeDocument/2006/relationships" r:id="rId15" tooltip="Auswählen, um Informationen aus dem Web zum Ermitteln von Ergebnissen in einer Excel-Tabelle anzuzeigen"/>
            <a:extLst>
              <a:ext uri="{FF2B5EF4-FFF2-40B4-BE49-F238E27FC236}">
                <a16:creationId xmlns:a16="http://schemas.microsoft.com/office/drawing/2014/main" id="{00000000-0008-0000-0600-0000A8000000}"/>
              </a:ext>
            </a:extLst>
          </xdr:cNvPr>
          <xdr:cNvSpPr txBox="1"/>
        </xdr:nvSpPr>
        <xdr:spPr>
          <a:xfrm>
            <a:off x="1024547" y="15845803"/>
            <a:ext cx="3976078"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Bilden von Gesamtergebnissen in einer Excel-Tabelle</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69" name="Grafik 22" descr="Pfeil">
            <a:hlinkClick xmlns:r="http://schemas.openxmlformats.org/officeDocument/2006/relationships" r:id="rId15" tooltip="Auswählen, um weitere Informationen aus dem Web anzuzeigen"/>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chritt" descr="Verwenden von berechneten Spalten in einer Excel-Tabelle, mit Link ins Web">
            <a:hlinkClick xmlns:r="http://schemas.openxmlformats.org/officeDocument/2006/relationships" r:id="rId16" tooltip="Auswählen, um Informationen aus dem Web zur Verwendung von berechneten Spalten in einer Excel-Tabelle anzuzeigen"/>
            <a:extLst>
              <a:ext uri="{FF2B5EF4-FFF2-40B4-BE49-F238E27FC236}">
                <a16:creationId xmlns:a16="http://schemas.microsoft.com/office/drawing/2014/main" id="{00000000-0008-0000-0600-0000AA000000}"/>
              </a:ext>
            </a:extLst>
          </xdr:cNvPr>
          <xdr:cNvSpPr txBox="1"/>
        </xdr:nvSpPr>
        <xdr:spPr>
          <a:xfrm>
            <a:off x="1024548" y="16312969"/>
            <a:ext cx="389987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berechneter Spalten in einer Excel-Tabelle</a:t>
            </a:r>
          </a:p>
          <a:p>
            <a:br>
              <a:rPr lang="en-US" sz="1100">
                <a:effectLst/>
              </a:rPr>
            </a:b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71" name="Grafik 22" descr="Pfeil">
            <a:hlinkClick xmlns:r="http://schemas.openxmlformats.org/officeDocument/2006/relationships" r:id="rId16" tooltip="Auswählen, um weitere Informationen aus dem Web anzuzeigen"/>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381000</xdr:colOff>
      <xdr:row>0</xdr:row>
      <xdr:rowOff>276225</xdr:rowOff>
    </xdr:from>
    <xdr:to>
      <xdr:col>1</xdr:col>
      <xdr:colOff>5229225</xdr:colOff>
      <xdr:row>23</xdr:row>
      <xdr:rowOff>152400</xdr:rowOff>
    </xdr:to>
    <xdr:grpSp>
      <xdr:nvGrpSpPr>
        <xdr:cNvPr id="9" name="Einfügen einer Dropdownliste"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81000" y="278130"/>
          <a:ext cx="5716905" cy="4827270"/>
          <a:chOff x="333375" y="276225"/>
          <a:chExt cx="5693569" cy="4907309"/>
        </a:xfrm>
      </xdr:grpSpPr>
      <xdr:sp macro="" textlink="">
        <xdr:nvSpPr>
          <xdr:cNvPr id="89" name="Rechteck 88" descr="Hintergrund">
            <a:extLst>
              <a:ext uri="{FF2B5EF4-FFF2-40B4-BE49-F238E27FC236}">
                <a16:creationId xmlns:a16="http://schemas.microsoft.com/office/drawing/2014/main" id="{00000000-0008-0000-0700-000059000000}"/>
              </a:ext>
            </a:extLst>
          </xdr:cNvPr>
          <xdr:cNvSpPr/>
        </xdr:nvSpPr>
        <xdr:spPr>
          <a:xfrm>
            <a:off x="333375" y="276225"/>
            <a:ext cx="5693569" cy="49073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0" name="Schritt" descr="Einfügen einer Dropdownliste">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Einfügen einer Dropdown-Liste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Gerader Verbinder 90" descr="Dekorative Lini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Schaltfläche &quot;Weiter&quot;" descr="Mehr Details erfahren">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439599"/>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93" name="Gerader Verbinder 92" descr="Dekorative Linie">
            <a:extLst>
              <a:ext uri="{FF2B5EF4-FFF2-40B4-BE49-F238E27FC236}">
                <a16:creationId xmlns:a16="http://schemas.microsoft.com/office/drawing/2014/main" id="{00000000-0008-0000-0700-00005D000000}"/>
              </a:ext>
            </a:extLst>
          </xdr:cNvPr>
          <xdr:cNvCxnSpPr>
            <a:cxnSpLocks/>
          </xdr:cNvCxnSpPr>
        </xdr:nvCxnSpPr>
        <xdr:spPr>
          <a:xfrm>
            <a:off x="568299" y="4168967"/>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700-00005E000000}"/>
              </a:ext>
            </a:extLst>
          </xdr:cNvPr>
          <xdr:cNvSpPr/>
        </xdr:nvSpPr>
        <xdr:spPr>
          <a:xfrm>
            <a:off x="4313161" y="4439598"/>
            <a:ext cx="1475383" cy="35325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95" name="Schritt" descr="Dropdownlisten vereinfachen Benutzern die Dateneingabe. So können Sie eine erstellen:">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Dropdownlisten vereinfachen die Dateneingabe. So können Sie eine erstellen: </a:t>
            </a:r>
          </a:p>
        </xdr:txBody>
      </xdr:sp>
      <xdr:sp macro="" textlink="">
        <xdr:nvSpPr>
          <xdr:cNvPr id="96" name="Schritt" descr="Wir möchten, dass nur drei Abteilungsnamen gültige Einträge für jedes der Lebensmittel auf der rechten Seite darstellen. Diese Abteilungen sind &quot;Obst und Gemüse&quot;, &quot;Fleisch&quot; und &quot;Backwaren&quot;.">
            <a:extLst>
              <a:ext uri="{FF2B5EF4-FFF2-40B4-BE49-F238E27FC236}">
                <a16:creationId xmlns:a16="http://schemas.microsoft.com/office/drawing/2014/main" id="{00000000-0008-0000-0700-000060000000}"/>
              </a:ext>
            </a:extLst>
          </xdr:cNvPr>
          <xdr:cNvSpPr txBox="1"/>
        </xdr:nvSpPr>
        <xdr:spPr>
          <a:xfrm>
            <a:off x="969777" y="1280961"/>
            <a:ext cx="4809516" cy="69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Wir möchten, dass nur drei Abteilungsnamen gültige Einträge für jedes der Lebensmittel auf der rechten Seite darstellen. Diese Abteilungen sind „Obst und Gemüse“, „Fleisch-“ und „Backwaren“.</a:t>
            </a:r>
          </a:p>
        </xdr:txBody>
      </xdr:sp>
      <xdr:sp macro="" textlink="">
        <xdr:nvSpPr>
          <xdr:cNvPr id="97" name="Ellipse 96" descr="1">
            <a:extLst>
              <a:ext uri="{FF2B5EF4-FFF2-40B4-BE49-F238E27FC236}">
                <a16:creationId xmlns:a16="http://schemas.microsoft.com/office/drawing/2014/main" id="{00000000-0008-0000-0700-000061000000}"/>
              </a:ext>
            </a:extLst>
          </xdr:cNvPr>
          <xdr:cNvSpPr/>
        </xdr:nvSpPr>
        <xdr:spPr>
          <a:xfrm>
            <a:off x="565124" y="1315897"/>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98" name="Schritt" descr="Klicken und ziehen Sie, um die gelben Zellen unter &quot;Abteilung&quot; auszuwählen.">
            <a:extLst>
              <a:ext uri="{FF2B5EF4-FFF2-40B4-BE49-F238E27FC236}">
                <a16:creationId xmlns:a16="http://schemas.microsoft.com/office/drawing/2014/main" id="{00000000-0008-0000-0700-000062000000}"/>
              </a:ext>
            </a:extLst>
          </xdr:cNvPr>
          <xdr:cNvSpPr txBox="1"/>
        </xdr:nvSpPr>
        <xdr:spPr>
          <a:xfrm>
            <a:off x="969776" y="1903235"/>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und ziehen Sie, um die gelben Zellen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Abteilung</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auszuwählen.</a:t>
            </a:r>
          </a:p>
        </xdr:txBody>
      </xdr:sp>
      <xdr:sp macro="" textlink="">
        <xdr:nvSpPr>
          <xdr:cNvPr id="99" name="Ellipse 98" descr="2">
            <a:extLst>
              <a:ext uri="{FF2B5EF4-FFF2-40B4-BE49-F238E27FC236}">
                <a16:creationId xmlns:a16="http://schemas.microsoft.com/office/drawing/2014/main" id="{00000000-0008-0000-0700-000063000000}"/>
              </a:ext>
            </a:extLst>
          </xdr:cNvPr>
          <xdr:cNvSpPr/>
        </xdr:nvSpPr>
        <xdr:spPr>
          <a:xfrm>
            <a:off x="565124" y="1914048"/>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00" name="Schritt" descr="Klicken Sie auf der Registerkarte &quot;Daten&quot; auf &quot;Datenüberprüfung&quot;. Klicken Sie unter &quot;Zulassen&quot; auf &quot;Liste&quot;.">
            <a:extLst>
              <a:ext uri="{FF2B5EF4-FFF2-40B4-BE49-F238E27FC236}">
                <a16:creationId xmlns:a16="http://schemas.microsoft.com/office/drawing/2014/main" id="{00000000-0008-0000-0700-000064000000}"/>
              </a:ext>
            </a:extLst>
          </xdr:cNvPr>
          <xdr:cNvSpPr txBox="1"/>
        </xdr:nvSpPr>
        <xdr:spPr>
          <a:xfrm>
            <a:off x="969777" y="2378160"/>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der Registerkarte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Datenüberprüfung</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Klicken Sie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Zulassen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Ellipse 100" descr="3">
            <a:extLst>
              <a:ext uri="{FF2B5EF4-FFF2-40B4-BE49-F238E27FC236}">
                <a16:creationId xmlns:a16="http://schemas.microsoft.com/office/drawing/2014/main" id="{00000000-0008-0000-0700-000065000000}"/>
              </a:ext>
            </a:extLst>
          </xdr:cNvPr>
          <xdr:cNvSpPr/>
        </xdr:nvSpPr>
        <xdr:spPr>
          <a:xfrm>
            <a:off x="565124" y="241309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02" name="Schritt" descr="Geben Sie im Feld &quot;Quelle&quot; die Werte &quot;Obst und Gemüse&quot;, &quot;Fleisch&quot; und &quot;Backwaren&quot; ein. Achten Sie darauf, die Werte durch Kommas zu trennen. Klicken Sie auf &quot;OK&quot;, wenn Sie fertig sind.">
            <a:extLst>
              <a:ext uri="{FF2B5EF4-FFF2-40B4-BE49-F238E27FC236}">
                <a16:creationId xmlns:a16="http://schemas.microsoft.com/office/drawing/2014/main" id="{00000000-0008-0000-0700-000066000000}"/>
              </a:ext>
            </a:extLst>
          </xdr:cNvPr>
          <xdr:cNvSpPr txBox="1"/>
        </xdr:nvSpPr>
        <xdr:spPr>
          <a:xfrm>
            <a:off x="969777" y="2867229"/>
            <a:ext cx="4809516" cy="72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Geben Sie im Feld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Quelle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 Werte</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Obst und Gemüse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Fleischwaren</a:t>
            </a:r>
            <a:r>
              <a:rPr lang="de"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Backwaren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 Achten Sie darauf, die Werte durch Kommas zu trennen. Klicken Sie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wenn Sie fertig sind.</a:t>
            </a:r>
          </a:p>
        </xdr:txBody>
      </xdr:sp>
      <xdr:sp macro="" textlink="">
        <xdr:nvSpPr>
          <xdr:cNvPr id="103" name="Ellipse 102" descr="4">
            <a:extLst>
              <a:ext uri="{FF2B5EF4-FFF2-40B4-BE49-F238E27FC236}">
                <a16:creationId xmlns:a16="http://schemas.microsoft.com/office/drawing/2014/main" id="{00000000-0008-0000-0700-000067000000}"/>
              </a:ext>
            </a:extLst>
          </xdr:cNvPr>
          <xdr:cNvSpPr/>
        </xdr:nvSpPr>
        <xdr:spPr>
          <a:xfrm>
            <a:off x="565124" y="289248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04" name="Schritt" descr="Klicken Sie jetzt auf die gelbe Zelle neben &quot;Äpfel&quot;, dann wird ein Dropdownmenü angezeigt.">
            <a:extLst>
              <a:ext uri="{FF2B5EF4-FFF2-40B4-BE49-F238E27FC236}">
                <a16:creationId xmlns:a16="http://schemas.microsoft.com/office/drawing/2014/main" id="{00000000-0008-0000-0700-000068000000}"/>
              </a:ext>
            </a:extLst>
          </xdr:cNvPr>
          <xdr:cNvSpPr txBox="1"/>
        </xdr:nvSpPr>
        <xdr:spPr>
          <a:xfrm>
            <a:off x="969777" y="3535026"/>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jetzt auf die gelbe Zelle neben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Äpfel</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dann wird ein Dropdownmenü angezeigt.</a:t>
            </a:r>
          </a:p>
        </xdr:txBody>
      </xdr:sp>
      <xdr:sp macro="" textlink="">
        <xdr:nvSpPr>
          <xdr:cNvPr id="105" name="Ellipse 104" descr="5">
            <a:extLst>
              <a:ext uri="{FF2B5EF4-FFF2-40B4-BE49-F238E27FC236}">
                <a16:creationId xmlns:a16="http://schemas.microsoft.com/office/drawing/2014/main" id="{00000000-0008-0000-0700-000069000000}"/>
              </a:ext>
            </a:extLst>
          </xdr:cNvPr>
          <xdr:cNvSpPr/>
        </xdr:nvSpPr>
        <xdr:spPr>
          <a:xfrm>
            <a:off x="565124" y="3536165"/>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63</xdr:row>
      <xdr:rowOff>19050</xdr:rowOff>
    </xdr:to>
    <xdr:grpSp>
      <xdr:nvGrpSpPr>
        <xdr:cNvPr id="7" name="Bewährte Methode für Dropdownlisten: Verwenden einer Tabel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2430" y="5524500"/>
          <a:ext cx="5709285" cy="7063740"/>
          <a:chOff x="390525" y="6036469"/>
          <a:chExt cx="5693569" cy="7067550"/>
        </a:xfrm>
      </xdr:grpSpPr>
      <xdr:sp macro="" textlink="">
        <xdr:nvSpPr>
          <xdr:cNvPr id="118" name="Rechteck 117" descr="Hintergrund">
            <a:extLst>
              <a:ext uri="{FF2B5EF4-FFF2-40B4-BE49-F238E27FC236}">
                <a16:creationId xmlns:a16="http://schemas.microsoft.com/office/drawing/2014/main" id="{00000000-0008-0000-0700-000076000000}"/>
              </a:ext>
            </a:extLst>
          </xdr:cNvPr>
          <xdr:cNvSpPr/>
        </xdr:nvSpPr>
        <xdr:spPr>
          <a:xfrm>
            <a:off x="390525" y="6036469"/>
            <a:ext cx="5693569" cy="70675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Schritt" descr="Bewährte Methode für Dropdownlisten: Verwenden Sie eine Tabelle.">
            <a:extLst>
              <a:ext uri="{FF2B5EF4-FFF2-40B4-BE49-F238E27FC236}">
                <a16:creationId xmlns:a16="http://schemas.microsoft.com/office/drawing/2014/main" id="{00000000-0008-0000-0700-000077000000}"/>
              </a:ext>
            </a:extLst>
          </xdr:cNvPr>
          <xdr:cNvSpPr txBox="1"/>
        </xdr:nvSpPr>
        <xdr:spPr>
          <a:xfrm>
            <a:off x="622273" y="6164692"/>
            <a:ext cx="5214170" cy="862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Bewährte Methode für Dropdownlisten: Verwenden Sie eine Tabelle.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Gerader Verbinder 119" descr="Dekorative Linie">
            <a:extLst>
              <a:ext uri="{FF2B5EF4-FFF2-40B4-BE49-F238E27FC236}">
                <a16:creationId xmlns:a16="http://schemas.microsoft.com/office/drawing/2014/main" id="{00000000-0008-0000-0700-000078000000}"/>
              </a:ext>
            </a:extLst>
          </xdr:cNvPr>
          <xdr:cNvCxnSpPr>
            <a:cxnSpLocks/>
          </xdr:cNvCxnSpPr>
        </xdr:nvCxnSpPr>
        <xdr:spPr>
          <a:xfrm>
            <a:off x="625449" y="707215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chritt" descr="Wir haben Ihnen gerade gezeigt, wie Sie ein Dropdownmenü für die Abteilungsliste einfügen. Aber wie gehen Sie vor, wenn sich die Liste ändert? Beispielsweise, wenn es eine neue Abteilung &quot;Milchprodukte&quot; gibt? Sie müssten das Dialogfeld &quot;Datenüberprüfung&quot; aktualisieren. Es gibt aber eine effizientere Vorgehensweise, indem zuerst eine Tabelle erstellt wird:">
            <a:extLst>
              <a:ext uri="{FF2B5EF4-FFF2-40B4-BE49-F238E27FC236}">
                <a16:creationId xmlns:a16="http://schemas.microsoft.com/office/drawing/2014/main" id="{00000000-0008-0000-0700-000079000000}"/>
              </a:ext>
            </a:extLst>
          </xdr:cNvPr>
          <xdr:cNvSpPr txBox="1"/>
        </xdr:nvSpPr>
        <xdr:spPr>
          <a:xfrm>
            <a:off x="619125" y="7145764"/>
            <a:ext cx="5298557" cy="1062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Wir haben Ihnen gerade gezeigt, wie Sie ein Dropdownmenü für die Abteilungsliste einfügen. Aber wie gehen Sie vor, wenn sich die Liste ändert? Beispielsweise, wenn es eine neue Abteilung "Milchprodukte" gibt? Sie müssten das Dialogfeld "Datenüberprüfung" aktualisieren. Es gibt aber eine effizientere Vorgehensweise, indem zuerst eine Tabelle erstellt wird:</a:t>
            </a:r>
          </a:p>
        </xdr:txBody>
      </xdr:sp>
      <xdr:sp macro="" textlink="">
        <xdr:nvSpPr>
          <xdr:cNvPr id="122" name="Schritt" descr="Klicken Sie in Spalte G auf eine Zelle mit einer Abteilung. Klicken Sie beispielsweise auf &quot;Fleischwaren&quot;.">
            <a:extLst>
              <a:ext uri="{FF2B5EF4-FFF2-40B4-BE49-F238E27FC236}">
                <a16:creationId xmlns:a16="http://schemas.microsoft.com/office/drawing/2014/main" id="{00000000-0008-0000-0700-00007A000000}"/>
              </a:ext>
            </a:extLst>
          </xdr:cNvPr>
          <xdr:cNvSpPr txBox="1"/>
        </xdr:nvSpPr>
        <xdr:spPr>
          <a:xfrm>
            <a:off x="1026927" y="8179536"/>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in Spalte F auf eine Zelle mit einer Abteilung. Klicken Sie beispielsweise auf </a:t>
            </a:r>
            <a:r>
              <a:rPr lang="de" sz="1100" b="1">
                <a:solidFill>
                  <a:schemeClr val="tx1">
                    <a:lumMod val="75000"/>
                    <a:lumOff val="25000"/>
                  </a:schemeClr>
                </a:solidFill>
                <a:latin typeface="Segoe UI" panose="020B0502040204020203" pitchFamily="34" charset="0"/>
                <a:cs typeface="Segoe UI" panose="020B0502040204020203" pitchFamily="34" charset="0"/>
              </a:rPr>
              <a:t>Fleischwaren</a:t>
            </a:r>
            <a:r>
              <a:rPr lang="de"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23" name="Ellipse 122" descr="1">
            <a:extLst>
              <a:ext uri="{FF2B5EF4-FFF2-40B4-BE49-F238E27FC236}">
                <a16:creationId xmlns:a16="http://schemas.microsoft.com/office/drawing/2014/main" id="{00000000-0008-0000-0700-00007B000000}"/>
              </a:ext>
            </a:extLst>
          </xdr:cNvPr>
          <xdr:cNvSpPr/>
        </xdr:nvSpPr>
        <xdr:spPr>
          <a:xfrm>
            <a:off x="622274" y="819418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24" name="Schritt" descr="Klicken Sie nun auf den Pfeil nach unten. Die Dropdownliste enthält nur drei Abteilungen: Obst und Gemüse, Fleischwaren und Backwaren. Wenn Sie aber in Spalte F unter &quot;Backwaren&quot; eine neue Abteilung hinzufügen, erfolgt eine Aktualisierung mit der neuen Abteilung.">
            <a:extLst>
              <a:ext uri="{FF2B5EF4-FFF2-40B4-BE49-F238E27FC236}">
                <a16:creationId xmlns:a16="http://schemas.microsoft.com/office/drawing/2014/main" id="{00000000-0008-0000-0700-00007C000000}"/>
              </a:ext>
            </a:extLst>
          </xdr:cNvPr>
          <xdr:cNvSpPr txBox="1"/>
        </xdr:nvSpPr>
        <xdr:spPr>
          <a:xfrm>
            <a:off x="1026926" y="11899205"/>
            <a:ext cx="4809517" cy="82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nun auf den Pfeil nach unten. Es gibt nur drei Abteilungen: Obst und Gemüse, Fleischwaren und Backwaren. Wenn Sie aber in Spalte F unter „Backwaren“ eine neue Abteilung hinzufügen, erfolgt eine Aktualisierung mit der neuen Abteilung.</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5" name="Ellipse 124" descr="8">
            <a:extLst>
              <a:ext uri="{FF2B5EF4-FFF2-40B4-BE49-F238E27FC236}">
                <a16:creationId xmlns:a16="http://schemas.microsoft.com/office/drawing/2014/main" id="{00000000-0008-0000-0700-00007D000000}"/>
              </a:ext>
            </a:extLst>
          </xdr:cNvPr>
          <xdr:cNvSpPr/>
        </xdr:nvSpPr>
        <xdr:spPr>
          <a:xfrm>
            <a:off x="622274" y="11885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8</a:t>
            </a:r>
          </a:p>
        </xdr:txBody>
      </xdr:sp>
      <xdr:sp macro="" textlink="">
        <xdr:nvSpPr>
          <xdr:cNvPr id="126" name="Schritt" descr="Erstellen Sie eine Tabelle, indem Sie STRG und die T-TASTE drücken und anschließend &quot;OK&quot; auswählen.">
            <a:extLst>
              <a:ext uri="{FF2B5EF4-FFF2-40B4-BE49-F238E27FC236}">
                <a16:creationId xmlns:a16="http://schemas.microsoft.com/office/drawing/2014/main" id="{00000000-0008-0000-0700-00007E000000}"/>
              </a:ext>
            </a:extLst>
          </xdr:cNvPr>
          <xdr:cNvSpPr txBox="1"/>
        </xdr:nvSpPr>
        <xdr:spPr>
          <a:xfrm>
            <a:off x="1026927" y="8711124"/>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Erstellen Sie eine Tabelle, indem Sie </a:t>
            </a:r>
            <a:r>
              <a:rPr lang="de" sz="1100" baseline="0">
                <a:solidFill>
                  <a:schemeClr val="tx1">
                    <a:lumMod val="75000"/>
                    <a:lumOff val="25000"/>
                  </a:schemeClr>
                </a:solidFill>
                <a:latin typeface="Segoe UI" panose="020B0502040204020203" pitchFamily="34" charset="0"/>
                <a:cs typeface="Segoe UI" panose="020B0502040204020203" pitchFamily="34" charset="0"/>
              </a:rPr>
              <a:t>                          </a:t>
            </a:r>
            <a:r>
              <a:rPr lang="de" sz="1100">
                <a:solidFill>
                  <a:schemeClr val="tx1">
                    <a:lumMod val="75000"/>
                    <a:lumOff val="25000"/>
                  </a:schemeClr>
                </a:solidFill>
                <a:latin typeface="Segoe UI" panose="020B0502040204020203" pitchFamily="34" charset="0"/>
                <a:cs typeface="Segoe UI" panose="020B0502040204020203" pitchFamily="34" charset="0"/>
              </a:rPr>
              <a:t>     </a:t>
            </a:r>
            <a:r>
              <a:rPr lang="de" sz="1100" b="0">
                <a:solidFill>
                  <a:schemeClr val="tx1">
                    <a:lumMod val="75000"/>
                    <a:lumOff val="25000"/>
                  </a:schemeClr>
                </a:solidFill>
                <a:latin typeface="Segoe UI" panose="020B0502040204020203" pitchFamily="34" charset="0"/>
                <a:cs typeface="Segoe UI" panose="020B0502040204020203" pitchFamily="34" charset="0"/>
              </a:rPr>
              <a:t>und dann </a:t>
            </a:r>
            <a:r>
              <a:rPr lang="de" sz="1100" b="1">
                <a:solidFill>
                  <a:schemeClr val="tx1">
                    <a:lumMod val="75000"/>
                    <a:lumOff val="25000"/>
                  </a:schemeClr>
                </a:solidFill>
                <a:latin typeface="Segoe UI" panose="020B0502040204020203" pitchFamily="34" charset="0"/>
                <a:cs typeface="Segoe UI" panose="020B0502040204020203" pitchFamily="34" charset="0"/>
              </a:rPr>
              <a:t>OK</a:t>
            </a:r>
            <a:r>
              <a:rPr lang="de" sz="1100">
                <a:solidFill>
                  <a:schemeClr val="tx1">
                    <a:lumMod val="75000"/>
                    <a:lumOff val="25000"/>
                  </a:schemeClr>
                </a:solidFill>
                <a:latin typeface="Segoe UI" panose="020B0502040204020203" pitchFamily="34" charset="0"/>
                <a:cs typeface="Segoe UI" panose="020B0502040204020203" pitchFamily="34" charset="0"/>
              </a:rPr>
              <a:t> drücken.</a:t>
            </a:r>
          </a:p>
        </xdr:txBody>
      </xdr:sp>
      <xdr:sp macro="" textlink="">
        <xdr:nvSpPr>
          <xdr:cNvPr id="127" name="Ellipse 126" descr="2">
            <a:extLst>
              <a:ext uri="{FF2B5EF4-FFF2-40B4-BE49-F238E27FC236}">
                <a16:creationId xmlns:a16="http://schemas.microsoft.com/office/drawing/2014/main" id="{00000000-0008-0000-0700-00007F000000}"/>
              </a:ext>
            </a:extLst>
          </xdr:cNvPr>
          <xdr:cNvSpPr/>
        </xdr:nvSpPr>
        <xdr:spPr>
          <a:xfrm>
            <a:off x="622274" y="866862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28" name="Schritt" descr="Jetzt müssen Sie die Datenüberprüfung erneut einrichten. Wählen Sie in Spalte D alle leeren Zellen unter &quot;Abteilung&quot; aus.">
            <a:extLst>
              <a:ext uri="{FF2B5EF4-FFF2-40B4-BE49-F238E27FC236}">
                <a16:creationId xmlns:a16="http://schemas.microsoft.com/office/drawing/2014/main" id="{00000000-0008-0000-0700-000080000000}"/>
              </a:ext>
            </a:extLst>
          </xdr:cNvPr>
          <xdr:cNvSpPr txBox="1"/>
        </xdr:nvSpPr>
        <xdr:spPr>
          <a:xfrm>
            <a:off x="1026927" y="91715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Jetzt müssen Sie die Datenüberprüfung erneut einrichten. Wählen Sie in Spalte D alle leeren Zellen unter </a:t>
            </a:r>
            <a:r>
              <a:rPr lang="de" sz="1100" b="1">
                <a:solidFill>
                  <a:schemeClr val="tx1">
                    <a:lumMod val="75000"/>
                    <a:lumOff val="25000"/>
                  </a:schemeClr>
                </a:solidFill>
                <a:latin typeface="Segoe UI" panose="020B0502040204020203" pitchFamily="34" charset="0"/>
                <a:cs typeface="Segoe UI" panose="020B0502040204020203" pitchFamily="34" charset="0"/>
              </a:rPr>
              <a:t>Abteilung</a:t>
            </a:r>
            <a:r>
              <a:rPr lang="de" sz="1100">
                <a:solidFill>
                  <a:schemeClr val="tx1">
                    <a:lumMod val="75000"/>
                    <a:lumOff val="25000"/>
                  </a:schemeClr>
                </a:solidFill>
                <a:latin typeface="Segoe UI" panose="020B0502040204020203" pitchFamily="34" charset="0"/>
                <a:cs typeface="Segoe UI" panose="020B0502040204020203" pitchFamily="34" charset="0"/>
              </a:rPr>
              <a:t> aus.</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9" name="Ellipse 128" descr="3">
            <a:extLst>
              <a:ext uri="{FF2B5EF4-FFF2-40B4-BE49-F238E27FC236}">
                <a16:creationId xmlns:a16="http://schemas.microsoft.com/office/drawing/2014/main" id="{00000000-0008-0000-0700-000081000000}"/>
              </a:ext>
            </a:extLst>
          </xdr:cNvPr>
          <xdr:cNvSpPr/>
        </xdr:nvSpPr>
        <xdr:spPr>
          <a:xfrm>
            <a:off x="622274" y="915761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cxnSp macro="">
        <xdr:nvCxnSpPr>
          <xdr:cNvPr id="130" name="Gerader Verbinder 129" descr="Dekorative Linie">
            <a:extLst>
              <a:ext uri="{FF2B5EF4-FFF2-40B4-BE49-F238E27FC236}">
                <a16:creationId xmlns:a16="http://schemas.microsoft.com/office/drawing/2014/main" id="{00000000-0008-0000-0700-000082000000}"/>
              </a:ext>
            </a:extLst>
          </xdr:cNvPr>
          <xdr:cNvCxnSpPr>
            <a:cxnSpLocks/>
          </xdr:cNvCxnSpPr>
        </xdr:nvCxnSpPr>
        <xdr:spPr>
          <a:xfrm>
            <a:off x="625449" y="12833648"/>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chritt" descr="Klicken Sie auf der Registerkarte &quot;Daten&quot; auf &quot;Datenüberprüfung&quot;. Klicken Sie unter &quot;Zulassen&quot; auf &quot;Liste&quot;.">
            <a:extLst>
              <a:ext uri="{FF2B5EF4-FFF2-40B4-BE49-F238E27FC236}">
                <a16:creationId xmlns:a16="http://schemas.microsoft.com/office/drawing/2014/main" id="{00000000-0008-0000-0700-00006C000000}"/>
              </a:ext>
            </a:extLst>
          </xdr:cNvPr>
          <xdr:cNvSpPr txBox="1"/>
        </xdr:nvSpPr>
        <xdr:spPr>
          <a:xfrm>
            <a:off x="1026927" y="966209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der Registerkarte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Datenüberprüfung</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Klicken Sie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Zulassen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Ellipse 108" descr="4">
            <a:extLst>
              <a:ext uri="{FF2B5EF4-FFF2-40B4-BE49-F238E27FC236}">
                <a16:creationId xmlns:a16="http://schemas.microsoft.com/office/drawing/2014/main" id="{00000000-0008-0000-0700-00006D000000}"/>
              </a:ext>
            </a:extLst>
          </xdr:cNvPr>
          <xdr:cNvSpPr/>
        </xdr:nvSpPr>
        <xdr:spPr>
          <a:xfrm>
            <a:off x="622274" y="966722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10" name="Schritt" descr="Klicken Sie in das Feld &quot;Quelle&quot;, und klicken Sie dann auf den Pfeil nach oben">
            <a:extLst>
              <a:ext uri="{FF2B5EF4-FFF2-40B4-BE49-F238E27FC236}">
                <a16:creationId xmlns:a16="http://schemas.microsoft.com/office/drawing/2014/main" id="{00000000-0008-0000-0700-00006E000000}"/>
              </a:ext>
            </a:extLst>
          </xdr:cNvPr>
          <xdr:cNvSpPr txBox="1"/>
        </xdr:nvSpPr>
        <xdr:spPr>
          <a:xfrm>
            <a:off x="1026927" y="1017028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in das Feld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Quelle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klicken Sie dann auf den Pfeil nach oben</a:t>
            </a:r>
          </a:p>
        </xdr:txBody>
      </xdr:sp>
      <xdr:sp macro="" textlink="">
        <xdr:nvSpPr>
          <xdr:cNvPr id="111" name="Ellipse 110" descr="5">
            <a:extLst>
              <a:ext uri="{FF2B5EF4-FFF2-40B4-BE49-F238E27FC236}">
                <a16:creationId xmlns:a16="http://schemas.microsoft.com/office/drawing/2014/main" id="{00000000-0008-0000-0700-00006F000000}"/>
              </a:ext>
            </a:extLst>
          </xdr:cNvPr>
          <xdr:cNvSpPr/>
        </xdr:nvSpPr>
        <xdr:spPr>
          <a:xfrm>
            <a:off x="622274" y="1017540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sp macro="" textlink="">
        <xdr:nvSpPr>
          <xdr:cNvPr id="112" name="Schritt" descr="Klicken und ziehen Sie, um in Spalte F nur die Zellen &quot;Obst und Gemüse&quot;, &quot;Fleischwaren&quot; und &quot;Backwaren&quot; auszuwählen. Klicken Sie anschließend auf den Pfeil nach unten.">
            <a:extLst>
              <a:ext uri="{FF2B5EF4-FFF2-40B4-BE49-F238E27FC236}">
                <a16:creationId xmlns:a16="http://schemas.microsoft.com/office/drawing/2014/main" id="{00000000-0008-0000-0700-000070000000}"/>
              </a:ext>
            </a:extLst>
          </xdr:cNvPr>
          <xdr:cNvSpPr txBox="1"/>
        </xdr:nvSpPr>
        <xdr:spPr>
          <a:xfrm>
            <a:off x="1026927" y="10650371"/>
            <a:ext cx="4809516" cy="701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und ziehen Sie, um in Spalte F nur die Zellen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Obst und Gemüse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Fleischwaren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Backwaren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auszuwählen. Klicken Sie anschließend auf den Pfeil nach unten </a:t>
            </a:r>
          </a:p>
        </xdr:txBody>
      </xdr:sp>
      <xdr:sp macro="" textlink="">
        <xdr:nvSpPr>
          <xdr:cNvPr id="113" name="Ellipse 112" descr="6">
            <a:extLst>
              <a:ext uri="{FF2B5EF4-FFF2-40B4-BE49-F238E27FC236}">
                <a16:creationId xmlns:a16="http://schemas.microsoft.com/office/drawing/2014/main" id="{00000000-0008-0000-0700-000071000000}"/>
              </a:ext>
            </a:extLst>
          </xdr:cNvPr>
          <xdr:cNvSpPr/>
        </xdr:nvSpPr>
        <xdr:spPr>
          <a:xfrm>
            <a:off x="622274" y="1066502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6</a:t>
            </a:r>
          </a:p>
        </xdr:txBody>
      </xdr:sp>
      <xdr:sp macro="" textlink="">
        <xdr:nvSpPr>
          <xdr:cNvPr id="114" name="Schritt" descr="Im Feld &quot;Quelle&quot; sollten Sie den folgenden Wert sehen: =$F$32:$F$34. (Wenn er nicht angezeigt wird, können Sie ihn eingeben.) Klicken Sie auf &quot;OK&quot;.">
            <a:extLst>
              <a:ext uri="{FF2B5EF4-FFF2-40B4-BE49-F238E27FC236}">
                <a16:creationId xmlns:a16="http://schemas.microsoft.com/office/drawing/2014/main" id="{00000000-0008-0000-0700-000072000000}"/>
              </a:ext>
            </a:extLst>
          </xdr:cNvPr>
          <xdr:cNvSpPr txBox="1"/>
        </xdr:nvSpPr>
        <xdr:spPr>
          <a:xfrm>
            <a:off x="1026927" y="11311687"/>
            <a:ext cx="4895310"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 Feld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Quelle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sollten Sie den folgenden Wert sehen: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(Wenn er nicht angezeigt wird, können Sie ihn eingeben.) Klicken Sie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Ellipse 114" descr="7">
            <a:extLst>
              <a:ext uri="{FF2B5EF4-FFF2-40B4-BE49-F238E27FC236}">
                <a16:creationId xmlns:a16="http://schemas.microsoft.com/office/drawing/2014/main" id="{00000000-0008-0000-0700-000073000000}"/>
              </a:ext>
            </a:extLst>
          </xdr:cNvPr>
          <xdr:cNvSpPr/>
        </xdr:nvSpPr>
        <xdr:spPr>
          <a:xfrm>
            <a:off x="622274" y="113263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7</a:t>
            </a:r>
          </a:p>
        </xdr:txBody>
      </xdr:sp>
      <xdr:sp macro="" textlink="">
        <xdr:nvSpPr>
          <xdr:cNvPr id="116" name="Rechteck: Abgerundete Ecken 115" descr="STRG-Taste">
            <a:extLst>
              <a:ext uri="{FF2B5EF4-FFF2-40B4-BE49-F238E27FC236}">
                <a16:creationId xmlns:a16="http://schemas.microsoft.com/office/drawing/2014/main" id="{00000000-0008-0000-0700-000074000000}"/>
              </a:ext>
            </a:extLst>
          </xdr:cNvPr>
          <xdr:cNvSpPr/>
        </xdr:nvSpPr>
        <xdr:spPr>
          <a:xfrm>
            <a:off x="3344735" y="8733242"/>
            <a:ext cx="57808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STRG</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hteck: Abgerundete Ecken 116" descr="T-Taste">
            <a:extLst>
              <a:ext uri="{FF2B5EF4-FFF2-40B4-BE49-F238E27FC236}">
                <a16:creationId xmlns:a16="http://schemas.microsoft.com/office/drawing/2014/main" id="{00000000-0008-0000-0700-000075000000}"/>
              </a:ext>
            </a:extLst>
          </xdr:cNvPr>
          <xdr:cNvSpPr/>
        </xdr:nvSpPr>
        <xdr:spPr>
          <a:xfrm>
            <a:off x="3984346" y="873324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T</a:t>
            </a:r>
          </a:p>
        </xdr:txBody>
      </xdr:sp>
      <xdr:pic>
        <xdr:nvPicPr>
          <xdr:cNvPr id="4" name="Bild 3" descr="Schaltfläche &quot;Bezug bearbeiten&quot;">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1482590" y="10418313"/>
            <a:ext cx="204439" cy="181207"/>
          </a:xfrm>
          <a:prstGeom prst="rect">
            <a:avLst/>
          </a:prstGeom>
        </xdr:spPr>
      </xdr:pic>
      <xdr:pic>
        <xdr:nvPicPr>
          <xdr:cNvPr id="5" name="Bild 4" descr="&quot;Bezug bearbeiten&quot; schließen">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2442854" y="11084394"/>
            <a:ext cx="206644" cy="184043"/>
          </a:xfrm>
          <a:prstGeom prst="rect">
            <a:avLst/>
          </a:prstGeom>
        </xdr:spPr>
      </xdr:pic>
    </xdr:grpSp>
    <xdr:clientData/>
  </xdr:twoCellAnchor>
  <xdr:twoCellAnchor editAs="oneCell">
    <xdr:from>
      <xdr:col>4</xdr:col>
      <xdr:colOff>657225</xdr:colOff>
      <xdr:row>33</xdr:row>
      <xdr:rowOff>83980</xdr:rowOff>
    </xdr:from>
    <xdr:to>
      <xdr:col>7</xdr:col>
      <xdr:colOff>428624</xdr:colOff>
      <xdr:row>44</xdr:row>
      <xdr:rowOff>66675</xdr:rowOff>
    </xdr:to>
    <xdr:grpSp>
      <xdr:nvGrpSpPr>
        <xdr:cNvPr id="8" name="Gruppe 7" descr="EXPERTENTIPP&#10;Häufig räumen Benutzer Überprüfungslisten wie diese aus dem Weg und lagern sie auf ein anderes Blatt aus. Auf diese Weise geraten andere nicht in Versuchung, die Liste zu ändern.&#10;">
          <a:extLst>
            <a:ext uri="{FF2B5EF4-FFF2-40B4-BE49-F238E27FC236}">
              <a16:creationId xmlns:a16="http://schemas.microsoft.com/office/drawing/2014/main" id="{2AF5B3F9-EEED-4EA5-9B9D-98766FAF035D}"/>
            </a:ext>
          </a:extLst>
        </xdr:cNvPr>
        <xdr:cNvGrpSpPr/>
      </xdr:nvGrpSpPr>
      <xdr:grpSpPr>
        <a:xfrm>
          <a:off x="8860155" y="6943885"/>
          <a:ext cx="2533649" cy="2074385"/>
          <a:chOff x="8591550" y="7361080"/>
          <a:chExt cx="2447924" cy="2078195"/>
        </a:xfrm>
      </xdr:grpSpPr>
      <xdr:sp macro="" textlink="">
        <xdr:nvSpPr>
          <xdr:cNvPr id="134" name="Bogen 133" descr="Pfeil">
            <a:extLst>
              <a:ext uri="{FF2B5EF4-FFF2-40B4-BE49-F238E27FC236}">
                <a16:creationId xmlns:a16="http://schemas.microsoft.com/office/drawing/2014/main" id="{00000000-0008-0000-0700-000086000000}"/>
              </a:ext>
            </a:extLst>
          </xdr:cNvPr>
          <xdr:cNvSpPr/>
        </xdr:nvSpPr>
        <xdr:spPr>
          <a:xfrm rot="1202673">
            <a:off x="9715681" y="7361080"/>
            <a:ext cx="986817"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pic>
        <xdr:nvPicPr>
          <xdr:cNvPr id="136" name="Grafik 2" descr="Eule">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chritt" descr="EXPERTENTIPP&#10;Häufig räumen Benutzer Überprüfungslisten wie diese aus dem Weg und lagern sie auf ein anderes Blatt aus. Auf diese Weise geraten andere nicht in Versuchung, die Liste zu ändern.&#10;">
            <a:extLst>
              <a:ext uri="{FF2B5EF4-FFF2-40B4-BE49-F238E27FC236}">
                <a16:creationId xmlns:a16="http://schemas.microsoft.com/office/drawing/2014/main" id="{00000000-0008-0000-0700-000089000000}"/>
              </a:ext>
            </a:extLst>
          </xdr:cNvPr>
          <xdr:cNvSpPr txBox="1"/>
        </xdr:nvSpPr>
        <xdr:spPr>
          <a:xfrm>
            <a:off x="8924927" y="8048625"/>
            <a:ext cx="2114547" cy="139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EXPERTENTIPP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Häufig räumen Benutzer Überprüfungslisten wie diese aus dem Weg und lagern sie auf ein anderes Blatt aus. Auf diese Weise geraten andere nicht in Versuchung, die Liste zu ändern.</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9</xdr:col>
      <xdr:colOff>57149</xdr:colOff>
      <xdr:row>15</xdr:row>
      <xdr:rowOff>171449</xdr:rowOff>
    </xdr:to>
    <xdr:grpSp>
      <xdr:nvGrpSpPr>
        <xdr:cNvPr id="6" name="Gruppe 5" descr="WISSENSWERTES&#10;Dropdownlisten helfen Ihnen sicherzustellen, dass Benutzer gültige Daten eingeben. Daher ist es   sinnvoll, dass Dropdownlisten einen Teil einer größeren Gruppe von Features bilden, die bezeichnet werden als Datenüberprüfung. &#10;&#10;Es gibt andere Methoden zur Datenüberprüfung. Beispielsweise können Sie Eingaben auf ganze Zahlen, Datumswerte oder sogar Mindest- oder Höchstbeträge einschränken. Viele Optionen stehen zur Verfügung, und Sie können mehr darüber erfahren, indem Sie auf den Link unten auf diesem Blatt klicken.&#10;">
          <a:extLst>
            <a:ext uri="{FF2B5EF4-FFF2-40B4-BE49-F238E27FC236}">
              <a16:creationId xmlns:a16="http://schemas.microsoft.com/office/drawing/2014/main" id="{7ED50FD9-FB74-4E6E-A9E0-3ECD4AF03D09}"/>
            </a:ext>
          </a:extLst>
        </xdr:cNvPr>
        <xdr:cNvGrpSpPr/>
      </xdr:nvGrpSpPr>
      <xdr:grpSpPr>
        <a:xfrm>
          <a:off x="8837295" y="849630"/>
          <a:ext cx="3406139" cy="2754629"/>
          <a:chOff x="8572500" y="847725"/>
          <a:chExt cx="3099166" cy="3006521"/>
        </a:xfrm>
      </xdr:grpSpPr>
      <xdr:sp macro="" textlink="">
        <xdr:nvSpPr>
          <xdr:cNvPr id="142" name="Schritt" descr="WISSENSWERTES&#10;Dropdownlisten helfen Ihnen sicherzustellen, dass Benutzer gültige Daten eingeben. Daher ist es   sinnvoll, dass Dropdownlisten einen Teil einer größeren Gruppe von Features bilden, die bezeichnet werden als Datenüberprüfung. &#10;&#10;Es gibt andere Methoden zur Datenüberprüfung. Beispielsweise können Sie Eingaben auf ganze Zahlen, Datumswerte oder sogar Mindest- oder Höchstbeträge einschränken. Viele Optionen stehen zur Verfügung, und Sie können mehr darüber erfahren, indem Sie auf den Link unten auf diesem Blatt klicken.&#10;">
            <a:extLst>
              <a:ext uri="{FF2B5EF4-FFF2-40B4-BE49-F238E27FC236}">
                <a16:creationId xmlns:a16="http://schemas.microsoft.com/office/drawing/2014/main" id="{00000000-0008-0000-0700-00008E000000}"/>
              </a:ext>
            </a:extLst>
          </xdr:cNvPr>
          <xdr:cNvSpPr txBox="1"/>
        </xdr:nvSpPr>
        <xdr:spPr>
          <a:xfrm>
            <a:off x="8886092" y="882731"/>
            <a:ext cx="2785574" cy="297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Dropdownlisten helfen Ihnen sicherzustellen, dass Benutzer gültige Daten eingeben. Daher ist es</a:t>
            </a:r>
            <a:r>
              <a:rPr lang="de" sz="1100" kern="0" baseline="0">
                <a:solidFill>
                  <a:schemeClr val="bg2">
                    <a:lumMod val="25000"/>
                  </a:schemeClr>
                </a:solidFill>
                <a:ea typeface="Segoe UI" pitchFamily="34" charset="0"/>
                <a:cs typeface="Segoe UI Light" panose="020B0502040204020203" pitchFamily="34" charset="0"/>
              </a:rPr>
              <a:t> </a:t>
            </a:r>
            <a:r>
              <a:rPr lang="de" sz="1100" kern="0">
                <a:solidFill>
                  <a:schemeClr val="bg2">
                    <a:lumMod val="25000"/>
                  </a:schemeClr>
                </a:solidFill>
                <a:ea typeface="Segoe UI" pitchFamily="34" charset="0"/>
                <a:cs typeface="Segoe UI Light" panose="020B0502040204020203" pitchFamily="34" charset="0"/>
              </a:rPr>
              <a:t> </a:t>
            </a:r>
            <a:r>
              <a:rPr lang="de" sz="1100" b="1" kern="0">
                <a:solidFill>
                  <a:schemeClr val="bg2">
                    <a:lumMod val="25000"/>
                  </a:schemeClr>
                </a:solidFill>
                <a:ea typeface="Segoe UI" pitchFamily="34" charset="0"/>
                <a:cs typeface="Segoe UI Light" panose="020B0502040204020203" pitchFamily="34" charset="0"/>
              </a:rPr>
              <a:t> </a:t>
            </a:r>
            <a:r>
              <a:rPr lang="de" sz="1100" b="0" kern="0">
                <a:solidFill>
                  <a:schemeClr val="bg2">
                    <a:lumMod val="25000"/>
                  </a:schemeClr>
                </a:solidFill>
                <a:ea typeface="Segoe UI" pitchFamily="34" charset="0"/>
                <a:cs typeface="Segoe UI Light" panose="020B0502040204020203" pitchFamily="34" charset="0"/>
              </a:rPr>
              <a:t>sinnvoll, dass Dropdownlisten einen Teil einer größeren Gruppe von Features bilden, die bezeichnet werden als </a:t>
            </a:r>
            <a:r>
              <a:rPr lang="de" sz="1100" b="1" kern="0">
                <a:solidFill>
                  <a:schemeClr val="bg2">
                    <a:lumMod val="25000"/>
                  </a:schemeClr>
                </a:solidFill>
                <a:ea typeface="Segoe UI" pitchFamily="34" charset="0"/>
                <a:cs typeface="Segoe UI Light" panose="020B0502040204020203" pitchFamily="34" charset="0"/>
              </a:rPr>
              <a:t>Datenüberprüfung</a:t>
            </a:r>
            <a:r>
              <a:rPr lang="de" sz="1100" kern="0">
                <a:solidFill>
                  <a:schemeClr val="bg2">
                    <a:lumMod val="25000"/>
                  </a:schemeClr>
                </a:solidFill>
                <a:ea typeface="Segoe UI" pitchFamily="34" charset="0"/>
                <a:cs typeface="Segoe UI Light" panose="020B0502040204020203" pitchFamily="34" charset="0"/>
              </a:rPr>
              <a:t>.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Es gibt andere Methoden zur Datenüberprüfung</a:t>
            </a:r>
            <a:r>
              <a:rPr lang="de" sz="1100" kern="0" baseline="0">
                <a:solidFill>
                  <a:schemeClr val="bg2">
                    <a:lumMod val="25000"/>
                  </a:schemeClr>
                </a:solidFill>
                <a:ea typeface="Segoe UI" pitchFamily="34" charset="0"/>
                <a:cs typeface="Segoe UI Light" panose="020B0502040204020203" pitchFamily="34" charset="0"/>
              </a:rPr>
              <a:t>. Beispielsweise können Sie Eingaben auf ganze Zahlen, Datumswerte oder sogar Mindest- oder Höchstbeträge </a:t>
            </a:r>
            <a:r>
              <a:rPr lang="de" sz="1100" kern="0">
                <a:solidFill>
                  <a:schemeClr val="bg2">
                    <a:lumMod val="25000"/>
                  </a:schemeClr>
                </a:solidFill>
                <a:ea typeface="Segoe UI" pitchFamily="34" charset="0"/>
                <a:cs typeface="Segoe UI Light" panose="020B0502040204020203" pitchFamily="34" charset="0"/>
              </a:rPr>
              <a:t>einschränken</a:t>
            </a:r>
            <a:r>
              <a:rPr lang="de" sz="1100" kern="0" baseline="0">
                <a:solidFill>
                  <a:schemeClr val="bg2">
                    <a:lumMod val="25000"/>
                  </a:schemeClr>
                </a:solidFill>
                <a:ea typeface="Segoe UI" pitchFamily="34" charset="0"/>
                <a:cs typeface="Segoe UI Light" panose="020B0502040204020203" pitchFamily="34" charset="0"/>
              </a:rPr>
              <a:t>. Viele Optionen stehen zur Verfügung, und Sie können mehr darüber erfahren, indem Sie auf den Link unten auf diesem Blatt klicken.</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fik 147" descr="Brille">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64</xdr:row>
      <xdr:rowOff>38100</xdr:rowOff>
    </xdr:from>
    <xdr:to>
      <xdr:col>1</xdr:col>
      <xdr:colOff>5238750</xdr:colOff>
      <xdr:row>79</xdr:row>
      <xdr:rowOff>186350</xdr:rowOff>
    </xdr:to>
    <xdr:grpSp>
      <xdr:nvGrpSpPr>
        <xdr:cNvPr id="2" name="Mehr im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2430" y="12801600"/>
          <a:ext cx="5709285" cy="3003845"/>
          <a:chOff x="390525" y="12239625"/>
          <a:chExt cx="5695950" cy="3005750"/>
        </a:xfrm>
      </xdr:grpSpPr>
      <xdr:sp macro="" textlink="">
        <xdr:nvSpPr>
          <xdr:cNvPr id="145" name="Rechteck 144" descr="Hintergr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6" name="Schritt" descr="Weitere Informationen im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Gerader Verbinder 146" descr="Dekorative Lini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Schaltfläche &quot;Weiter&quot;" descr="Zurück zum Anfang, mit Link zur Zelle A1">
            <a:hlinkClick xmlns:r="http://schemas.openxmlformats.org/officeDocument/2006/relationships" r:id="rId9" tooltip="Auswählen, um zur Zelle A1 auf diesem Arbeitsblatt zu gelangen"/>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49" name="Gerader Verbinder 148" descr="Dekorative Lini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700-000096000000}"/>
              </a:ext>
            </a:extLst>
          </xdr:cNvPr>
          <xdr:cNvSpPr/>
        </xdr:nvSpPr>
        <xdr:spPr>
          <a:xfrm>
            <a:off x="4352925" y="14600227"/>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51" name="Schritt" descr="Anwenden von Datenüberprüfung auf Zellen, mit Link ins Web">
            <a:hlinkClick xmlns:r="http://schemas.openxmlformats.org/officeDocument/2006/relationships" r:id="rId10" tooltip="Auswählen, um Informationen zum Anwenden von Datenüberprüfung auf Zellen aus dem Web anzuzeigen"/>
            <a:extLst>
              <a:ext uri="{FF2B5EF4-FFF2-40B4-BE49-F238E27FC236}">
                <a16:creationId xmlns:a16="http://schemas.microsoft.com/office/drawing/2014/main" id="{00000000-0008-0000-0700-000097000000}"/>
              </a:ext>
            </a:extLst>
          </xdr:cNvPr>
          <xdr:cNvSpPr txBox="1"/>
        </xdr:nvSpPr>
        <xdr:spPr>
          <a:xfrm>
            <a:off x="1029307" y="13034473"/>
            <a:ext cx="40475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Anwenden von Datenüberprüfung auf Zellen</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52" name="Grafik 22" descr="Pfeil">
            <a:hlinkClick xmlns:r="http://schemas.openxmlformats.org/officeDocument/2006/relationships" r:id="rId10" tooltip="Auswählen, um weitere Informationen aus dem Web anzuzeigen"/>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chritt" descr="Dropdownliste erstellen, mit Link ins Web">
            <a:hlinkClick xmlns:r="http://schemas.openxmlformats.org/officeDocument/2006/relationships" r:id="rId13" tooltip="Auswählen, um Informationen zum Erstellen einer Dropdownliste aus dem Web anzuzeigen"/>
            <a:extLst>
              <a:ext uri="{FF2B5EF4-FFF2-40B4-BE49-F238E27FC236}">
                <a16:creationId xmlns:a16="http://schemas.microsoft.com/office/drawing/2014/main" id="{00000000-0008-0000-0700-000099000000}"/>
              </a:ext>
            </a:extLst>
          </xdr:cNvPr>
          <xdr:cNvSpPr txBox="1"/>
        </xdr:nvSpPr>
        <xdr:spPr>
          <a:xfrm>
            <a:off x="1029307" y="13499080"/>
            <a:ext cx="2847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Erstellen von Dropdownlisten</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54" name="Grafik 22" descr="Pfeil">
            <a:hlinkClick xmlns:r="http://schemas.openxmlformats.org/officeDocument/2006/relationships" r:id="rId13" tooltip="Auswählen, um weitere Informationen aus dem Web anzuzeigen"/>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2</xdr:rowOff>
    </xdr:from>
    <xdr:to>
      <xdr:col>1</xdr:col>
      <xdr:colOff>5238750</xdr:colOff>
      <xdr:row>46</xdr:row>
      <xdr:rowOff>123826</xdr:rowOff>
    </xdr:to>
    <xdr:grpSp>
      <xdr:nvGrpSpPr>
        <xdr:cNvPr id="4" name="Schnelles Erstellen eines Diagramms"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2430" y="5524502"/>
          <a:ext cx="5709285" cy="3935729"/>
          <a:chOff x="390525" y="5943600"/>
          <a:chExt cx="5695950" cy="3999043"/>
        </a:xfrm>
      </xdr:grpSpPr>
      <xdr:sp macro="" textlink="">
        <xdr:nvSpPr>
          <xdr:cNvPr id="102" name="Rechteck 101" descr="Hintergrund">
            <a:extLst>
              <a:ext uri="{FF2B5EF4-FFF2-40B4-BE49-F238E27FC236}">
                <a16:creationId xmlns:a16="http://schemas.microsoft.com/office/drawing/2014/main" id="{00000000-0008-0000-0800-000066000000}"/>
              </a:ext>
            </a:extLst>
          </xdr:cNvPr>
          <xdr:cNvSpPr/>
        </xdr:nvSpPr>
        <xdr:spPr>
          <a:xfrm>
            <a:off x="390525" y="5943600"/>
            <a:ext cx="5695950" cy="399904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3" name="Schritt" descr="Schnelles Erstellen eines Diagramms">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Schnelles Erstellen eines Diagramms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Gerader Verbinder 103" descr="Dekorative Lini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Gerader Verbinder 104" descr="Dekorative Linie">
            <a:extLst>
              <a:ext uri="{FF2B5EF4-FFF2-40B4-BE49-F238E27FC236}">
                <a16:creationId xmlns:a16="http://schemas.microsoft.com/office/drawing/2014/main" id="{00000000-0008-0000-0800-000069000000}"/>
              </a:ext>
            </a:extLst>
          </xdr:cNvPr>
          <xdr:cNvCxnSpPr>
            <a:cxnSpLocks/>
          </xdr:cNvCxnSpPr>
        </xdr:nvCxnSpPr>
        <xdr:spPr>
          <a:xfrm>
            <a:off x="625449" y="969049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chritt" descr="Sie können immer die Registerkarte &quot;Einfügen&quot; verwenden und ein Diagramm erstellen. Hier zeigen wir Ihnen jedoch eine andere Möglichkeit zum Erstellen eines Diagramms, mithilfe der Schaltfläche &quot;Schnellanalyse&quot;. Diesmal möchten wir außerdem die Tastenkombination verwenden:">
            <a:extLst>
              <a:ext uri="{FF2B5EF4-FFF2-40B4-BE49-F238E27FC236}">
                <a16:creationId xmlns:a16="http://schemas.microsoft.com/office/drawing/2014/main" id="{00000000-0008-0000-0800-00006A000000}"/>
              </a:ext>
            </a:extLst>
          </xdr:cNvPr>
          <xdr:cNvSpPr txBox="1"/>
        </xdr:nvSpPr>
        <xdr:spPr>
          <a:xfrm>
            <a:off x="619125" y="6652845"/>
            <a:ext cx="5300938" cy="859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Sie können immer die Registerkarte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Einfügen</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verwenden und ein Diagramm erstellen. Hier zeigen wir Ihnen jedoch eine andere Möglichkeit zum Erstellen eines Diagramms, mithilfe</a:t>
            </a:r>
            <a:r>
              <a:rPr lang="de"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der Schaltfläche "Schnellanalyse". Diesmal möchten wir außerdem die Tastenkombination verwenden:</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8" name="Schritt" descr="Klicken Sie auf die erste Schaltfläche &quot;Gruppierte...&quot;.">
            <a:extLst>
              <a:ext uri="{FF2B5EF4-FFF2-40B4-BE49-F238E27FC236}">
                <a16:creationId xmlns:a16="http://schemas.microsoft.com/office/drawing/2014/main" id="{00000000-0008-0000-0800-00006C000000}"/>
              </a:ext>
            </a:extLst>
          </xdr:cNvPr>
          <xdr:cNvSpPr txBox="1"/>
        </xdr:nvSpPr>
        <xdr:spPr>
          <a:xfrm>
            <a:off x="1029307" y="8500227"/>
            <a:ext cx="4809517" cy="290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050">
                <a:latin typeface="Segoe UI" panose="020B0502040204020203" pitchFamily="34" charset="0"/>
                <a:cs typeface="Segoe UI" panose="020B0502040204020203" pitchFamily="34" charset="0"/>
              </a:rPr>
              <a:t>Klicken Sie auf die erste Schaltfläche </a:t>
            </a:r>
            <a:r>
              <a:rPr lang="de" sz="1050" b="1">
                <a:latin typeface="Segoe UI" panose="020B0502040204020203" pitchFamily="34" charset="0"/>
                <a:cs typeface="Segoe UI" panose="020B0502040204020203" pitchFamily="34" charset="0"/>
              </a:rPr>
              <a:t>Gruppierte...</a:t>
            </a:r>
            <a:r>
              <a:rPr lang="de"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109" name="Ellipse 108" descr="3">
            <a:extLst>
              <a:ext uri="{FF2B5EF4-FFF2-40B4-BE49-F238E27FC236}">
                <a16:creationId xmlns:a16="http://schemas.microsoft.com/office/drawing/2014/main" id="{00000000-0008-0000-0800-00006D000000}"/>
              </a:ext>
            </a:extLst>
          </xdr:cNvPr>
          <xdr:cNvSpPr/>
        </xdr:nvSpPr>
        <xdr:spPr>
          <a:xfrm>
            <a:off x="622274" y="846741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10" name="Schritt" descr="Ein neues Säulendiagramm (gruppiert) wird angezeigt. Sie können es nach Belieben verschieben. Beachten Sie, dass für jedes Produkt drei Spalten vorhanden sind, eine für jeden Umsatzmonat.">
            <a:extLst>
              <a:ext uri="{FF2B5EF4-FFF2-40B4-BE49-F238E27FC236}">
                <a16:creationId xmlns:a16="http://schemas.microsoft.com/office/drawing/2014/main" id="{00000000-0008-0000-0800-00006E000000}"/>
              </a:ext>
            </a:extLst>
          </xdr:cNvPr>
          <xdr:cNvSpPr txBox="1"/>
        </xdr:nvSpPr>
        <xdr:spPr>
          <a:xfrm>
            <a:off x="1029307" y="8937093"/>
            <a:ext cx="4809517" cy="60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050">
                <a:latin typeface="Segoe UI" panose="020B0502040204020203" pitchFamily="34" charset="0"/>
                <a:cs typeface="Segoe UI" panose="020B0502040204020203" pitchFamily="34" charset="0"/>
              </a:rPr>
              <a:t>Ein neues Säulendiagramm (gruppiert) wird angezeigt. Sie können es nach Belieben verschieben. Beachten Sie, dass für jedes Produkt drei Spalten vorhanden sind, eine für jeden Umsatzmonat.</a:t>
            </a:r>
          </a:p>
        </xdr:txBody>
      </xdr:sp>
      <xdr:sp macro="" textlink="">
        <xdr:nvSpPr>
          <xdr:cNvPr id="111" name="Ellipse 110" descr="4">
            <a:extLst>
              <a:ext uri="{FF2B5EF4-FFF2-40B4-BE49-F238E27FC236}">
                <a16:creationId xmlns:a16="http://schemas.microsoft.com/office/drawing/2014/main" id="{00000000-0008-0000-0800-00006F000000}"/>
              </a:ext>
            </a:extLst>
          </xdr:cNvPr>
          <xdr:cNvSpPr/>
        </xdr:nvSpPr>
        <xdr:spPr>
          <a:xfrm>
            <a:off x="622274" y="895269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12" name="Schritt" descr="Klicken Sie auf dem Bedienfeld, das dann angezeigt wird, auf &quot;Diagramme&quot;.">
            <a:extLst>
              <a:ext uri="{FF2B5EF4-FFF2-40B4-BE49-F238E27FC236}">
                <a16:creationId xmlns:a16="http://schemas.microsoft.com/office/drawing/2014/main" id="{00000000-0008-0000-0800-000070000000}"/>
              </a:ext>
            </a:extLst>
          </xdr:cNvPr>
          <xdr:cNvSpPr txBox="1"/>
        </xdr:nvSpPr>
        <xdr:spPr>
          <a:xfrm>
            <a:off x="1029307" y="8060474"/>
            <a:ext cx="4809517" cy="32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050">
                <a:latin typeface="Segoe UI" panose="020B0502040204020203" pitchFamily="34" charset="0"/>
                <a:cs typeface="Segoe UI" panose="020B0502040204020203" pitchFamily="34" charset="0"/>
              </a:rPr>
              <a:t>Klicken Sie auf dem Bedienfeld, das dann angezeigt wird, auf </a:t>
            </a:r>
            <a:r>
              <a:rPr lang="de" sz="1050" b="1">
                <a:latin typeface="Segoe UI" panose="020B0502040204020203" pitchFamily="34" charset="0"/>
                <a:cs typeface="Segoe UI" panose="020B0502040204020203" pitchFamily="34" charset="0"/>
              </a:rPr>
              <a:t>Diagramme</a:t>
            </a:r>
            <a:r>
              <a:rPr lang="de"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113" name="Ellipse 112" descr="2">
            <a:extLst>
              <a:ext uri="{FF2B5EF4-FFF2-40B4-BE49-F238E27FC236}">
                <a16:creationId xmlns:a16="http://schemas.microsoft.com/office/drawing/2014/main" id="{00000000-0008-0000-0800-000071000000}"/>
              </a:ext>
            </a:extLst>
          </xdr:cNvPr>
          <xdr:cNvSpPr/>
        </xdr:nvSpPr>
        <xdr:spPr>
          <a:xfrm>
            <a:off x="622274" y="80276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97" name="Schritt" descr="Klicken Sie in den Daten rechts auf eine Zelle, und drücken Sie dann die Tasten STRG und Q.">
            <a:extLst>
              <a:ext uri="{FF2B5EF4-FFF2-40B4-BE49-F238E27FC236}">
                <a16:creationId xmlns:a16="http://schemas.microsoft.com/office/drawing/2014/main" id="{00000000-0008-0000-0800-000061000000}"/>
              </a:ext>
            </a:extLst>
          </xdr:cNvPr>
          <xdr:cNvSpPr txBox="1"/>
        </xdr:nvSpPr>
        <xdr:spPr>
          <a:xfrm>
            <a:off x="1029308" y="7473491"/>
            <a:ext cx="4809516" cy="542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in den Daten rechts auf eine Zelle, und drücken Sie dann</a:t>
            </a:r>
          </a:p>
        </xdr:txBody>
      </xdr:sp>
      <xdr:sp macro="" textlink="">
        <xdr:nvSpPr>
          <xdr:cNvPr id="98" name="Ellipse 97" descr="1">
            <a:extLst>
              <a:ext uri="{FF2B5EF4-FFF2-40B4-BE49-F238E27FC236}">
                <a16:creationId xmlns:a16="http://schemas.microsoft.com/office/drawing/2014/main" id="{00000000-0008-0000-0800-000062000000}"/>
              </a:ext>
            </a:extLst>
          </xdr:cNvPr>
          <xdr:cNvSpPr/>
        </xdr:nvSpPr>
        <xdr:spPr>
          <a:xfrm>
            <a:off x="622274" y="746972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00" name="Rechteck: Abgerundete Ecken 99" descr="STRG-Taste">
            <a:extLst>
              <a:ext uri="{FF2B5EF4-FFF2-40B4-BE49-F238E27FC236}">
                <a16:creationId xmlns:a16="http://schemas.microsoft.com/office/drawing/2014/main" id="{00000000-0008-0000-0800-000064000000}"/>
              </a:ext>
            </a:extLst>
          </xdr:cNvPr>
          <xdr:cNvSpPr/>
        </xdr:nvSpPr>
        <xdr:spPr>
          <a:xfrm>
            <a:off x="1095375" y="7723398"/>
            <a:ext cx="584286"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STRG</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hteck: Abgerundete Ecken 100" descr="Q-Taste">
            <a:extLst>
              <a:ext uri="{FF2B5EF4-FFF2-40B4-BE49-F238E27FC236}">
                <a16:creationId xmlns:a16="http://schemas.microsoft.com/office/drawing/2014/main" id="{00000000-0008-0000-0800-000065000000}"/>
              </a:ext>
            </a:extLst>
          </xdr:cNvPr>
          <xdr:cNvSpPr/>
        </xdr:nvSpPr>
        <xdr:spPr>
          <a:xfrm>
            <a:off x="1764621" y="7723398"/>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47</xdr:row>
      <xdr:rowOff>180977</xdr:rowOff>
    </xdr:from>
    <xdr:to>
      <xdr:col>1</xdr:col>
      <xdr:colOff>5238750</xdr:colOff>
      <xdr:row>70</xdr:row>
      <xdr:rowOff>133350</xdr:rowOff>
    </xdr:to>
    <xdr:grpSp>
      <xdr:nvGrpSpPr>
        <xdr:cNvPr id="3" name="Schnelles Erstellen von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2430" y="9704072"/>
          <a:ext cx="5709285" cy="4331968"/>
          <a:chOff x="390525" y="9801225"/>
          <a:chExt cx="5695950" cy="4258965"/>
        </a:xfrm>
      </xdr:grpSpPr>
      <xdr:sp macro="" textlink="">
        <xdr:nvSpPr>
          <xdr:cNvPr id="121" name="Rechteck 120" descr="Hintergrund">
            <a:extLst>
              <a:ext uri="{FF2B5EF4-FFF2-40B4-BE49-F238E27FC236}">
                <a16:creationId xmlns:a16="http://schemas.microsoft.com/office/drawing/2014/main" id="{00000000-0008-0000-0800-000079000000}"/>
              </a:ext>
            </a:extLst>
          </xdr:cNvPr>
          <xdr:cNvSpPr/>
        </xdr:nvSpPr>
        <xdr:spPr>
          <a:xfrm>
            <a:off x="390525" y="9801225"/>
            <a:ext cx="5695950" cy="425896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Schritt" descr="Schnelles Erstellen von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Schnelles Erstellen von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Gerader Verbinder 122" descr="Dekorative Lini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Gerader Verbinder 123" descr="Dekorative Linie">
            <a:extLst>
              <a:ext uri="{FF2B5EF4-FFF2-40B4-BE49-F238E27FC236}">
                <a16:creationId xmlns:a16="http://schemas.microsoft.com/office/drawing/2014/main" id="{00000000-0008-0000-0800-00007C000000}"/>
              </a:ext>
            </a:extLst>
          </xdr:cNvPr>
          <xdr:cNvCxnSpPr>
            <a:cxnSpLocks/>
          </xdr:cNvCxnSpPr>
        </xdr:nvCxnSpPr>
        <xdr:spPr>
          <a:xfrm>
            <a:off x="625449" y="138120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chritt" descr="Angenommen, Sie möchten kleine Trendlinien rechts neben Ihren Daten anzeigen, um darzustellen, wie sich die Beträge im Lauf der drei Monate verändern. Dazu brauchen Sie nicht 8 kleine Liniendiagramme zu erstellen. Sie können stattdessen Sparklines erstellen.">
            <a:extLst>
              <a:ext uri="{FF2B5EF4-FFF2-40B4-BE49-F238E27FC236}">
                <a16:creationId xmlns:a16="http://schemas.microsoft.com/office/drawing/2014/main" id="{00000000-0008-0000-0800-00007D000000}"/>
              </a:ext>
            </a:extLst>
          </xdr:cNvPr>
          <xdr:cNvSpPr txBox="1"/>
        </xdr:nvSpPr>
        <xdr:spPr>
          <a:xfrm>
            <a:off x="619125" y="10510472"/>
            <a:ext cx="5300938" cy="900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Angenommen, Sie möchten kleine Trendlinien rechts neben Ihren Daten anzeigen, um darzustellen, wie sich die Beträge im Lauf der drei Monate verändern. Dazu brauchen Sie nicht 8 kleine Liniendiagramme zu erstellen. Sie können stattdessen Sparklines erstellen.</a:t>
            </a:r>
          </a:p>
        </xdr:txBody>
      </xdr:sp>
      <xdr:sp macro="" textlink="">
        <xdr:nvSpPr>
          <xdr:cNvPr id="126" name="Schritt" descr="Jetzt werden rechts neben der Spalte &quot;Dez.&quot; Sparklines angezeigt. Jede Linie stellt die Daten der betreffenden Zeile dar und zeigt, ob sich die Beträge nach oben oder unten entwickeln.">
            <a:extLst>
              <a:ext uri="{FF2B5EF4-FFF2-40B4-BE49-F238E27FC236}">
                <a16:creationId xmlns:a16="http://schemas.microsoft.com/office/drawing/2014/main" id="{00000000-0008-0000-0800-00007E000000}"/>
              </a:ext>
            </a:extLst>
          </xdr:cNvPr>
          <xdr:cNvSpPr txBox="1"/>
        </xdr:nvSpPr>
        <xdr:spPr>
          <a:xfrm>
            <a:off x="1029307" y="12182432"/>
            <a:ext cx="4809517" cy="70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Jetzt werden rechts neben der Spalte </a:t>
            </a:r>
            <a:r>
              <a:rPr lang="de" sz="1100" b="1">
                <a:solidFill>
                  <a:schemeClr val="tx1">
                    <a:lumMod val="75000"/>
                    <a:lumOff val="25000"/>
                  </a:schemeClr>
                </a:solidFill>
                <a:latin typeface="Segoe UI" panose="020B0502040204020203" pitchFamily="34" charset="0"/>
                <a:cs typeface="Segoe UI" panose="020B0502040204020203" pitchFamily="34" charset="0"/>
              </a:rPr>
              <a:t>Dez.</a:t>
            </a:r>
            <a:r>
              <a:rPr lang="de" sz="1100">
                <a:solidFill>
                  <a:schemeClr val="tx1">
                    <a:lumMod val="75000"/>
                    <a:lumOff val="25000"/>
                  </a:schemeClr>
                </a:solidFill>
                <a:latin typeface="Segoe UI" panose="020B0502040204020203" pitchFamily="34" charset="0"/>
                <a:cs typeface="Segoe UI" panose="020B0502040204020203" pitchFamily="34" charset="0"/>
              </a:rPr>
              <a:t> Sparklines angezeigt. Jede Linie stellt die Daten der betreffenden Zeile dar und zeigt, ob sich die Beträge nach oben oder unten entwickeln.</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7" name="Ellipse 126" descr="3">
            <a:extLst>
              <a:ext uri="{FF2B5EF4-FFF2-40B4-BE49-F238E27FC236}">
                <a16:creationId xmlns:a16="http://schemas.microsoft.com/office/drawing/2014/main" id="{00000000-0008-0000-0800-00007F000000}"/>
              </a:ext>
            </a:extLst>
          </xdr:cNvPr>
          <xdr:cNvSpPr/>
        </xdr:nvSpPr>
        <xdr:spPr>
          <a:xfrm>
            <a:off x="622274" y="121399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28" name="Schritt" descr="Um die Sparklines zu löschen, wählen Sie sie mittels Klicken und Ziehen aus. Oben im Fenster wird die Registerkarte &quot;Sparklinetools Entwurf&quot; angezeigt. Wechseln Sie zu dieser Registerkarte, und klicken Sie dann auf die Schaltfläche &quot;Löschen&quot;.">
            <a:extLst>
              <a:ext uri="{FF2B5EF4-FFF2-40B4-BE49-F238E27FC236}">
                <a16:creationId xmlns:a16="http://schemas.microsoft.com/office/drawing/2014/main" id="{00000000-0008-0000-0800-000080000000}"/>
              </a:ext>
            </a:extLst>
          </xdr:cNvPr>
          <xdr:cNvSpPr txBox="1"/>
        </xdr:nvSpPr>
        <xdr:spPr>
          <a:xfrm>
            <a:off x="1029307" y="12797670"/>
            <a:ext cx="4809517" cy="878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Um die Sparklines zu löschen, wählen Sie sie mittels Klicken und Ziehen aus. Oben im Fenster wird die Registerkarte </a:t>
            </a:r>
            <a:r>
              <a:rPr lang="de" sz="1100" b="1">
                <a:solidFill>
                  <a:schemeClr val="tx1">
                    <a:lumMod val="75000"/>
                    <a:lumOff val="25000"/>
                  </a:schemeClr>
                </a:solidFill>
                <a:latin typeface="Segoe UI" panose="020B0502040204020203" pitchFamily="34" charset="0"/>
                <a:cs typeface="Segoe UI" panose="020B0502040204020203" pitchFamily="34" charset="0"/>
              </a:rPr>
              <a:t>Sparkline</a:t>
            </a:r>
            <a:r>
              <a:rPr lang="de" sz="1100">
                <a:solidFill>
                  <a:schemeClr val="tx1">
                    <a:lumMod val="75000"/>
                    <a:lumOff val="25000"/>
                  </a:schemeClr>
                </a:solidFill>
                <a:latin typeface="Segoe UI" panose="020B0502040204020203" pitchFamily="34" charset="0"/>
                <a:cs typeface="Segoe UI" panose="020B0502040204020203" pitchFamily="34" charset="0"/>
              </a:rPr>
              <a:t> angezeigt. Wechseln Sie zu dieser Registerkarte, und klicken Sie dann auf die Schaltfläche </a:t>
            </a:r>
            <a:r>
              <a:rPr lang="de" sz="1100" b="1">
                <a:solidFill>
                  <a:schemeClr val="tx1">
                    <a:lumMod val="75000"/>
                    <a:lumOff val="25000"/>
                  </a:schemeClr>
                </a:solidFill>
                <a:latin typeface="Segoe UI" panose="020B0502040204020203" pitchFamily="34" charset="0"/>
                <a:cs typeface="Segoe UI" panose="020B0502040204020203" pitchFamily="34" charset="0"/>
              </a:rPr>
              <a:t>Löschen</a:t>
            </a:r>
            <a:r>
              <a:rPr lang="de"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Ellipse 128" descr="4">
            <a:extLst>
              <a:ext uri="{FF2B5EF4-FFF2-40B4-BE49-F238E27FC236}">
                <a16:creationId xmlns:a16="http://schemas.microsoft.com/office/drawing/2014/main" id="{00000000-0008-0000-0800-000081000000}"/>
              </a:ext>
            </a:extLst>
          </xdr:cNvPr>
          <xdr:cNvSpPr/>
        </xdr:nvSpPr>
        <xdr:spPr>
          <a:xfrm>
            <a:off x="622274" y="127551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30" name="Schritt" descr="Klicken Sie auf dem Bedienfeld, das dann angezeigt wird, auf &quot;Sparklines&quot; und dann auf die Schaltfläche &quot;Linie&quot;.">
            <a:extLst>
              <a:ext uri="{FF2B5EF4-FFF2-40B4-BE49-F238E27FC236}">
                <a16:creationId xmlns:a16="http://schemas.microsoft.com/office/drawing/2014/main" id="{00000000-0008-0000-0800-000082000000}"/>
              </a:ext>
            </a:extLst>
          </xdr:cNvPr>
          <xdr:cNvSpPr txBox="1"/>
        </xdr:nvSpPr>
        <xdr:spPr>
          <a:xfrm>
            <a:off x="1029307" y="11732253"/>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auf dem Bedienfeld, das dann angezeigt wird, auf </a:t>
            </a:r>
            <a:r>
              <a:rPr lang="de" sz="1100" b="1">
                <a:solidFill>
                  <a:schemeClr val="tx1">
                    <a:lumMod val="75000"/>
                    <a:lumOff val="25000"/>
                  </a:schemeClr>
                </a:solidFill>
                <a:latin typeface="Segoe UI" panose="020B0502040204020203" pitchFamily="34" charset="0"/>
                <a:cs typeface="Segoe UI" panose="020B0502040204020203" pitchFamily="34" charset="0"/>
              </a:rPr>
              <a:t>Sparklines</a:t>
            </a:r>
            <a:r>
              <a:rPr lang="de" sz="1100">
                <a:solidFill>
                  <a:schemeClr val="tx1">
                    <a:lumMod val="75000"/>
                    <a:lumOff val="25000"/>
                  </a:schemeClr>
                </a:solidFill>
                <a:latin typeface="Segoe UI" panose="020B0502040204020203" pitchFamily="34" charset="0"/>
                <a:cs typeface="Segoe UI" panose="020B0502040204020203" pitchFamily="34" charset="0"/>
              </a:rPr>
              <a:t> und dann auf die Schaltfläche </a:t>
            </a:r>
            <a:r>
              <a:rPr lang="de" sz="1100" b="1">
                <a:solidFill>
                  <a:schemeClr val="tx1">
                    <a:lumMod val="75000"/>
                    <a:lumOff val="25000"/>
                  </a:schemeClr>
                </a:solidFill>
                <a:latin typeface="Segoe UI" panose="020B0502040204020203" pitchFamily="34" charset="0"/>
                <a:cs typeface="Segoe UI" panose="020B0502040204020203" pitchFamily="34" charset="0"/>
              </a:rPr>
              <a:t>Linie</a:t>
            </a:r>
            <a:r>
              <a:rPr lang="de"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1" name="Ellipse 130" descr="2">
            <a:extLst>
              <a:ext uri="{FF2B5EF4-FFF2-40B4-BE49-F238E27FC236}">
                <a16:creationId xmlns:a16="http://schemas.microsoft.com/office/drawing/2014/main" id="{00000000-0008-0000-0800-000083000000}"/>
              </a:ext>
            </a:extLst>
          </xdr:cNvPr>
          <xdr:cNvSpPr/>
        </xdr:nvSpPr>
        <xdr:spPr>
          <a:xfrm>
            <a:off x="622274" y="116897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16" name="Schritt" descr="Klicken Sie in den Daten rechts auf eine Zelle, und drücken Sie dann die Tasten STRG und Q.">
            <a:extLst>
              <a:ext uri="{FF2B5EF4-FFF2-40B4-BE49-F238E27FC236}">
                <a16:creationId xmlns:a16="http://schemas.microsoft.com/office/drawing/2014/main" id="{00000000-0008-0000-0800-000074000000}"/>
              </a:ext>
            </a:extLst>
          </xdr:cNvPr>
          <xdr:cNvSpPr txBox="1"/>
        </xdr:nvSpPr>
        <xdr:spPr>
          <a:xfrm>
            <a:off x="1029308" y="11165992"/>
            <a:ext cx="4809516" cy="62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in den Daten rechts auf eine Zelle, und drücken Sie dann</a:t>
            </a:r>
          </a:p>
        </xdr:txBody>
      </xdr:sp>
      <xdr:sp macro="" textlink="">
        <xdr:nvSpPr>
          <xdr:cNvPr id="117" name="Ellipse 116" descr="1">
            <a:extLst>
              <a:ext uri="{FF2B5EF4-FFF2-40B4-BE49-F238E27FC236}">
                <a16:creationId xmlns:a16="http://schemas.microsoft.com/office/drawing/2014/main" id="{00000000-0008-0000-0800-000075000000}"/>
              </a:ext>
            </a:extLst>
          </xdr:cNvPr>
          <xdr:cNvSpPr/>
        </xdr:nvSpPr>
        <xdr:spPr>
          <a:xfrm>
            <a:off x="622274" y="1117029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19" name="Rechteck: Abgerundete Ecken 118" descr="STRG-Taste">
            <a:extLst>
              <a:ext uri="{FF2B5EF4-FFF2-40B4-BE49-F238E27FC236}">
                <a16:creationId xmlns:a16="http://schemas.microsoft.com/office/drawing/2014/main" id="{00000000-0008-0000-0800-000077000000}"/>
              </a:ext>
            </a:extLst>
          </xdr:cNvPr>
          <xdr:cNvSpPr/>
        </xdr:nvSpPr>
        <xdr:spPr>
          <a:xfrm>
            <a:off x="1114425" y="11417389"/>
            <a:ext cx="546186"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Segoe UI" panose="020B0502040204020203" pitchFamily="34" charset="0"/>
                <a:cs typeface="Segoe UI" panose="020B0502040204020203" pitchFamily="34" charset="0"/>
              </a:rPr>
              <a:t>STRG</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hteck: Abgerundete Ecken 119" descr="Q-Taste">
            <a:extLst>
              <a:ext uri="{FF2B5EF4-FFF2-40B4-BE49-F238E27FC236}">
                <a16:creationId xmlns:a16="http://schemas.microsoft.com/office/drawing/2014/main" id="{00000000-0008-0000-0800-000078000000}"/>
              </a:ext>
            </a:extLst>
          </xdr:cNvPr>
          <xdr:cNvSpPr/>
        </xdr:nvSpPr>
        <xdr:spPr>
          <a:xfrm>
            <a:off x="1745571" y="1141738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72</xdr:row>
      <xdr:rowOff>0</xdr:rowOff>
    </xdr:from>
    <xdr:to>
      <xdr:col>1</xdr:col>
      <xdr:colOff>5238750</xdr:colOff>
      <xdr:row>87</xdr:row>
      <xdr:rowOff>6350</xdr:rowOff>
    </xdr:to>
    <xdr:grpSp>
      <xdr:nvGrpSpPr>
        <xdr:cNvPr id="132" name="Mehr im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2430" y="14287500"/>
          <a:ext cx="5709285" cy="2865755"/>
          <a:chOff x="0" y="1"/>
          <a:chExt cx="5695950" cy="2806700"/>
        </a:xfrm>
      </xdr:grpSpPr>
      <xdr:sp macro="" textlink="">
        <xdr:nvSpPr>
          <xdr:cNvPr id="133" name="Rechteck 132" descr="Hintergr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Schritt" descr="Weitere Informationen im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Gerader Verbinder 134" descr="Dekorative Lini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Schaltfläche &quot;Weiter&quot;" descr="Zurück zum Anfang, mit Link zur Zelle A1">
            <a:hlinkClick xmlns:r="http://schemas.openxmlformats.org/officeDocument/2006/relationships" r:id="rId1" tooltip="Auswählen, um zur Zelle A1 auf diesem Arbeitsblatt zu gelangen"/>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37" name="Gerader Verbinder 136" descr="Dekorative Lini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800-00008A000000}"/>
              </a:ext>
            </a:extLst>
          </xdr:cNvPr>
          <xdr:cNvSpPr/>
        </xdr:nvSpPr>
        <xdr:spPr>
          <a:xfrm>
            <a:off x="4000499" y="2220914"/>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39" name="Schritt" descr="Sofortiges Analysieren von Daten, mit Link ins Web">
            <a:hlinkClick xmlns:r="http://schemas.openxmlformats.org/officeDocument/2006/relationships" r:id="rId3" tooltip="Auswählen, um Informationen aus dem Web zum sofortigen Analysieren von Daten anzuzeigen"/>
            <a:extLst>
              <a:ext uri="{FF2B5EF4-FFF2-40B4-BE49-F238E27FC236}">
                <a16:creationId xmlns:a16="http://schemas.microsoft.com/office/drawing/2014/main" id="{00000000-0008-0000-0800-00008B000000}"/>
              </a:ext>
            </a:extLst>
          </xdr:cNvPr>
          <xdr:cNvSpPr txBox="1"/>
        </xdr:nvSpPr>
        <xdr:spPr>
          <a:xfrm>
            <a:off x="638782" y="794849"/>
            <a:ext cx="22377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Sofortiges Analysieren von Daten</a:t>
            </a:r>
          </a:p>
        </xdr:txBody>
      </xdr:sp>
      <xdr:pic>
        <xdr:nvPicPr>
          <xdr:cNvPr id="140" name="Grafik 22" descr="Pfeil">
            <a:hlinkClick xmlns:r="http://schemas.openxmlformats.org/officeDocument/2006/relationships" r:id="rId3" tooltip="Auswählen, um weitere Informationen aus dem Web anzuzeigen"/>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chritt" descr="Analysieren von Trends in Daten mithilfe von Sparklines, mit Link ins Web">
            <a:hlinkClick xmlns:r="http://schemas.openxmlformats.org/officeDocument/2006/relationships" r:id="rId6" tooltip="Auswählen, um Informationen aus dem Web zum Analysieren von Daten mithilfe von Sparklines anzuzeigen"/>
            <a:extLst>
              <a:ext uri="{FF2B5EF4-FFF2-40B4-BE49-F238E27FC236}">
                <a16:creationId xmlns:a16="http://schemas.microsoft.com/office/drawing/2014/main" id="{00000000-0008-0000-0800-00008D000000}"/>
              </a:ext>
            </a:extLst>
          </xdr:cNvPr>
          <xdr:cNvSpPr txBox="1"/>
        </xdr:nvSpPr>
        <xdr:spPr>
          <a:xfrm>
            <a:off x="638782" y="1259456"/>
            <a:ext cx="41046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Analysieren von Trends in Daten mithilfe von Sparklines</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fik 22" descr="Pfeil">
            <a:hlinkClick xmlns:r="http://schemas.openxmlformats.org/officeDocument/2006/relationships" r:id="rId6" tooltip="Auswählen, um weitere Informationen aus dem Web anzuzeigen"/>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390525</xdr:colOff>
      <xdr:row>0</xdr:row>
      <xdr:rowOff>276224</xdr:rowOff>
    </xdr:from>
    <xdr:to>
      <xdr:col>1</xdr:col>
      <xdr:colOff>5238750</xdr:colOff>
      <xdr:row>21</xdr:row>
      <xdr:rowOff>133349</xdr:rowOff>
    </xdr:to>
    <xdr:grpSp>
      <xdr:nvGrpSpPr>
        <xdr:cNvPr id="5" name="Schnelles Analysieren von Daten"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92430" y="278129"/>
          <a:ext cx="5709285" cy="4431030"/>
          <a:chOff x="333375" y="276224"/>
          <a:chExt cx="5695950" cy="4429125"/>
        </a:xfrm>
      </xdr:grpSpPr>
      <xdr:sp macro="" textlink="">
        <xdr:nvSpPr>
          <xdr:cNvPr id="77" name="Rechteck 76" descr="Hintergrund">
            <a:extLst>
              <a:ext uri="{FF2B5EF4-FFF2-40B4-BE49-F238E27FC236}">
                <a16:creationId xmlns:a16="http://schemas.microsoft.com/office/drawing/2014/main" id="{00000000-0008-0000-0800-00004D000000}"/>
              </a:ext>
            </a:extLst>
          </xdr:cNvPr>
          <xdr:cNvSpPr/>
        </xdr:nvSpPr>
        <xdr:spPr>
          <a:xfrm>
            <a:off x="333375" y="276224"/>
            <a:ext cx="5695950" cy="44291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8" name="Schritt" descr="Schnelles Analysieren von Daten">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Schnelles Analysieren von Daten</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Gerader Verbinder 78" descr="Dekorative Lini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Schaltfläche &quot;Weiter&quot;" descr="Mehr Details erfahren">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4006201"/>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81" name="Gerader Verbinder 80" descr="Dekorative Linie">
            <a:extLst>
              <a:ext uri="{FF2B5EF4-FFF2-40B4-BE49-F238E27FC236}">
                <a16:creationId xmlns:a16="http://schemas.microsoft.com/office/drawing/2014/main" id="{00000000-0008-0000-0800-000051000000}"/>
              </a:ext>
            </a:extLst>
          </xdr:cNvPr>
          <xdr:cNvCxnSpPr>
            <a:cxnSpLocks/>
          </xdr:cNvCxnSpPr>
        </xdr:nvCxnSpPr>
        <xdr:spPr>
          <a:xfrm>
            <a:off x="568299" y="377031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800-000052000000}"/>
              </a:ext>
            </a:extLst>
          </xdr:cNvPr>
          <xdr:cNvSpPr/>
        </xdr:nvSpPr>
        <xdr:spPr>
          <a:xfrm>
            <a:off x="4305300" y="4006201"/>
            <a:ext cx="1476375"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83" name="Schritt" descr="Auf diese Weise können Sie Daten analysieren und Muster und Trends so schnell erkennen:">
            <a:extLst>
              <a:ext uri="{FF2B5EF4-FFF2-40B4-BE49-F238E27FC236}">
                <a16:creationId xmlns:a16="http://schemas.microsoft.com/office/drawing/2014/main" id="{00000000-0008-0000-0800-000053000000}"/>
              </a:ext>
            </a:extLst>
          </xdr:cNvPr>
          <xdr:cNvSpPr txBox="1"/>
        </xdr:nvSpPr>
        <xdr:spPr>
          <a:xfrm>
            <a:off x="561975" y="966419"/>
            <a:ext cx="5300938" cy="47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Auf diese Weise können Sie Daten analysieren und Muster und Trends so schnell erkennen:</a:t>
            </a:r>
          </a:p>
        </xdr:txBody>
      </xdr:sp>
      <xdr:sp macro="" textlink="">
        <xdr:nvSpPr>
          <xdr:cNvPr id="84" name="Schritt" descr="Klicken und ziehen Sie, um alle Zellen auf der rechten Seite auszuwählen, und klicken Sie dann auf diese Schaltfläche in der unteren rechten Ecke:">
            <a:extLst>
              <a:ext uri="{FF2B5EF4-FFF2-40B4-BE49-F238E27FC236}">
                <a16:creationId xmlns:a16="http://schemas.microsoft.com/office/drawing/2014/main" id="{00000000-0008-0000-0800-000054000000}"/>
              </a:ext>
            </a:extLst>
          </xdr:cNvPr>
          <xdr:cNvSpPr txBox="1"/>
        </xdr:nvSpPr>
        <xdr:spPr>
          <a:xfrm>
            <a:off x="972158" y="14268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spc="-2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a:t>
            </a:r>
            <a:r>
              <a:rPr lang="de"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ziehen Sie, um alle Zellen auf der rechten Seite auszuwählen, und klicken Sie dann auf diese Schaltfläche in der unteren rechten Ecke: </a:t>
            </a:r>
            <a:endParaRPr lang="en-US" sz="1100" kern="0" spc="-2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Ellipse 84" descr="1">
            <a:extLst>
              <a:ext uri="{FF2B5EF4-FFF2-40B4-BE49-F238E27FC236}">
                <a16:creationId xmlns:a16="http://schemas.microsoft.com/office/drawing/2014/main" id="{00000000-0008-0000-0800-000055000000}"/>
              </a:ext>
            </a:extLst>
          </xdr:cNvPr>
          <xdr:cNvSpPr/>
        </xdr:nvSpPr>
        <xdr:spPr>
          <a:xfrm>
            <a:off x="565124" y="14510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86" name="Schritt" descr="Klicken Sie auf dem Bedienfeld, das dann angezeigt wird, auf Datenbalken. Die Zellen unter den Spalten &quot;Okt.&quot;, &quot;Nov.&quot; und &quot;Dez.&quot; erhalten besondere Datenbalken, die ihre Beträge visualisieren.">
            <a:extLst>
              <a:ext uri="{FF2B5EF4-FFF2-40B4-BE49-F238E27FC236}">
                <a16:creationId xmlns:a16="http://schemas.microsoft.com/office/drawing/2014/main" id="{00000000-0008-0000-0800-000056000000}"/>
              </a:ext>
            </a:extLst>
          </xdr:cNvPr>
          <xdr:cNvSpPr txBox="1"/>
        </xdr:nvSpPr>
        <xdr:spPr>
          <a:xfrm>
            <a:off x="972157" y="1913753"/>
            <a:ext cx="4809517" cy="76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dem Bedienfeld, das angezeigt wird,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Datenbalken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 Zellen unter den Spalten "Okt.", "Nov." und "Dez." erhalten besondere Datenbalken, die ihre Beträge visualisieren.</a:t>
            </a:r>
          </a:p>
        </xdr:txBody>
      </xdr:sp>
      <xdr:sp macro="" textlink="">
        <xdr:nvSpPr>
          <xdr:cNvPr id="87" name="Ellipse 86" descr="2">
            <a:extLst>
              <a:ext uri="{FF2B5EF4-FFF2-40B4-BE49-F238E27FC236}">
                <a16:creationId xmlns:a16="http://schemas.microsoft.com/office/drawing/2014/main" id="{00000000-0008-0000-0800-000057000000}"/>
              </a:ext>
            </a:extLst>
          </xdr:cNvPr>
          <xdr:cNvSpPr/>
        </xdr:nvSpPr>
        <xdr:spPr>
          <a:xfrm>
            <a:off x="565124" y="19665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88" name="Schritt" descr="Nehmen wir jetzt an, dass Sie die Balken loswerden möchten. Klicken Sie erneut auf diese Schaltfläche:">
            <a:extLst>
              <a:ext uri="{FF2B5EF4-FFF2-40B4-BE49-F238E27FC236}">
                <a16:creationId xmlns:a16="http://schemas.microsoft.com/office/drawing/2014/main" id="{00000000-0008-0000-0800-000058000000}"/>
              </a:ext>
            </a:extLst>
          </xdr:cNvPr>
          <xdr:cNvSpPr txBox="1"/>
        </xdr:nvSpPr>
        <xdr:spPr>
          <a:xfrm>
            <a:off x="972158" y="2579795"/>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Nehmen wir jetzt an, dass Sie die Balken loswerden möchten. Klicken Sie erneut auf diese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Schaltfläche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9" name="Ellipse 88" descr="3">
            <a:extLst>
              <a:ext uri="{FF2B5EF4-FFF2-40B4-BE49-F238E27FC236}">
                <a16:creationId xmlns:a16="http://schemas.microsoft.com/office/drawing/2014/main" id="{00000000-0008-0000-0800-000059000000}"/>
              </a:ext>
            </a:extLst>
          </xdr:cNvPr>
          <xdr:cNvSpPr/>
        </xdr:nvSpPr>
        <xdr:spPr>
          <a:xfrm>
            <a:off x="565124" y="259444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90" name="Schritt" descr="Klicken Sie auf dem Bedienfeld, das dann angezeigt wird, auf die Schaltfläche &quot;Formatierung löschen&quot; auf der rechten Seite.">
            <a:extLst>
              <a:ext uri="{FF2B5EF4-FFF2-40B4-BE49-F238E27FC236}">
                <a16:creationId xmlns:a16="http://schemas.microsoft.com/office/drawing/2014/main" id="{00000000-0008-0000-0800-00005A000000}"/>
              </a:ext>
            </a:extLst>
          </xdr:cNvPr>
          <xdr:cNvSpPr txBox="1"/>
        </xdr:nvSpPr>
        <xdr:spPr>
          <a:xfrm>
            <a:off x="972158" y="30975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dem Bedienfeld, das dann angezeigt wird, auf die Schaltfläche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Formatierung</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löschen auf der rechten Seite. </a:t>
            </a:r>
          </a:p>
        </xdr:txBody>
      </xdr:sp>
      <xdr:sp macro="" textlink="">
        <xdr:nvSpPr>
          <xdr:cNvPr id="91" name="Ellipse 90" descr="4">
            <a:extLst>
              <a:ext uri="{FF2B5EF4-FFF2-40B4-BE49-F238E27FC236}">
                <a16:creationId xmlns:a16="http://schemas.microsoft.com/office/drawing/2014/main" id="{00000000-0008-0000-0800-00005B000000}"/>
              </a:ext>
            </a:extLst>
          </xdr:cNvPr>
          <xdr:cNvSpPr/>
        </xdr:nvSpPr>
        <xdr:spPr>
          <a:xfrm>
            <a:off x="565124" y="311224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pic>
        <xdr:nvPicPr>
          <xdr:cNvPr id="144" name="Bild 143" descr="Schaltfläche &quot;Schnellanalyse&quot;">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5052338" y="1679972"/>
            <a:ext cx="243562" cy="241511"/>
          </a:xfrm>
          <a:prstGeom prst="rect">
            <a:avLst/>
          </a:prstGeom>
        </xdr:spPr>
      </xdr:pic>
      <xdr:pic>
        <xdr:nvPicPr>
          <xdr:cNvPr id="151" name="Bild 150" descr="Schaltfläche &quot;Schnellanalyse&quot;">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2918738" y="2822972"/>
            <a:ext cx="243562" cy="241511"/>
          </a:xfrm>
          <a:prstGeom prst="rect">
            <a:avLst/>
          </a:prstGeom>
        </xdr:spPr>
      </xdr:pic>
    </xdr:grpSp>
    <xdr:clientData/>
  </xdr:twoCellAnchor>
  <xdr:twoCellAnchor editAs="oneCell">
    <xdr:from>
      <xdr:col>2</xdr:col>
      <xdr:colOff>727472</xdr:colOff>
      <xdr:row>13</xdr:row>
      <xdr:rowOff>107153</xdr:rowOff>
    </xdr:from>
    <xdr:to>
      <xdr:col>5</xdr:col>
      <xdr:colOff>323850</xdr:colOff>
      <xdr:row>23</xdr:row>
      <xdr:rowOff>152398</xdr:rowOff>
    </xdr:to>
    <xdr:grpSp>
      <xdr:nvGrpSpPr>
        <xdr:cNvPr id="2" name="WISSENSWERTES" descr="WISSENSWERTES: Wenn Sie Zellen auswählen, wird diese Schaltfläche angezeigt: Dies ist die Schaltfläche &quot;Schnellanalyse&quot;. Der Name passt, finden Sie nicht? Wenn Sie jemals eine Frage zu Daten haben, klicken Sie auf diese Schaltfläche, und finden Sie heraus, ob Sie darauf Antworten erhalten.">
          <a:extLst>
            <a:ext uri="{FF2B5EF4-FFF2-40B4-BE49-F238E27FC236}">
              <a16:creationId xmlns:a16="http://schemas.microsoft.com/office/drawing/2014/main" id="{00000000-0008-0000-0800-000002000000}"/>
            </a:ext>
          </a:extLst>
        </xdr:cNvPr>
        <xdr:cNvGrpSpPr/>
      </xdr:nvGrpSpPr>
      <xdr:grpSpPr>
        <a:xfrm>
          <a:off x="7280672" y="3153248"/>
          <a:ext cx="2602468" cy="1952150"/>
          <a:chOff x="7099696" y="3364706"/>
          <a:chExt cx="2408740" cy="1774922"/>
        </a:xfrm>
      </xdr:grpSpPr>
      <xdr:sp macro="" textlink="">
        <xdr:nvSpPr>
          <xdr:cNvPr id="40" name="Schritt" descr="WISSENSWERTES&#10;Wenn Sie Zellen auswählen, wird diese Schaltfläche angezeigt:       &#10;Dies ist die Schaltfläche Schnellanalyse. Der Name passt, finden Sie nicht? Wenn Sie jemals eine Frage zu Daten haben, klicken Sie auf diese Schaltfläche, und finden Sie heraus, ob Sie darauf Antworten erhalten. &#10;">
            <a:extLst>
              <a:ext uri="{FF2B5EF4-FFF2-40B4-BE49-F238E27FC236}">
                <a16:creationId xmlns:a16="http://schemas.microsoft.com/office/drawing/2014/main" id="{00000000-0008-0000-0800-000028000000}"/>
              </a:ext>
            </a:extLst>
          </xdr:cNvPr>
          <xdr:cNvSpPr txBox="1"/>
        </xdr:nvSpPr>
        <xdr:spPr>
          <a:xfrm>
            <a:off x="7389029" y="3389710"/>
            <a:ext cx="2119407" cy="174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Wenn Sie Zellen auswählen, wird diese Schaltfläche angezeigt:</a:t>
            </a:r>
            <a:r>
              <a:rPr lang="de" sz="1100" kern="0" baseline="0">
                <a:solidFill>
                  <a:schemeClr val="bg2">
                    <a:lumMod val="25000"/>
                  </a:schemeClr>
                </a:solidFill>
                <a:ea typeface="Segoe UI" pitchFamily="34" charset="0"/>
                <a:cs typeface="Segoe UI Light" panose="020B0502040204020203" pitchFamily="34" charset="0"/>
              </a:rPr>
              <a:t>       </a:t>
            </a:r>
          </a:p>
          <a:p>
            <a:pPr lvl="0" rtl="0">
              <a:defRPr/>
            </a:pPr>
            <a:r>
              <a:rPr lang="de" sz="1100" kern="0">
                <a:solidFill>
                  <a:schemeClr val="bg2">
                    <a:lumMod val="25000"/>
                  </a:schemeClr>
                </a:solidFill>
                <a:ea typeface="Segoe UI" pitchFamily="34" charset="0"/>
                <a:cs typeface="Segoe UI Light" panose="020B0502040204020203" pitchFamily="34" charset="0"/>
              </a:rPr>
              <a:t>Dies ist die Schaltfläche </a:t>
            </a:r>
            <a:r>
              <a:rPr lang="de" sz="1100" b="1" kern="0">
                <a:solidFill>
                  <a:schemeClr val="bg2">
                    <a:lumMod val="25000"/>
                  </a:schemeClr>
                </a:solidFill>
                <a:ea typeface="Segoe UI" pitchFamily="34" charset="0"/>
                <a:cs typeface="Segoe UI Light" panose="020B0502040204020203" pitchFamily="34" charset="0"/>
              </a:rPr>
              <a:t>Schnellanalyse</a:t>
            </a:r>
            <a:r>
              <a:rPr lang="de" sz="1100" kern="0">
                <a:solidFill>
                  <a:schemeClr val="bg2">
                    <a:lumMod val="25000"/>
                  </a:schemeClr>
                </a:solidFill>
                <a:ea typeface="Segoe UI" pitchFamily="34" charset="0"/>
                <a:cs typeface="Segoe UI Light" panose="020B0502040204020203" pitchFamily="34" charset="0"/>
              </a:rPr>
              <a:t>. Der</a:t>
            </a:r>
            <a:r>
              <a:rPr lang="de" sz="1100" kern="0" baseline="0">
                <a:solidFill>
                  <a:schemeClr val="bg2">
                    <a:lumMod val="25000"/>
                  </a:schemeClr>
                </a:solidFill>
                <a:ea typeface="Segoe UI" pitchFamily="34" charset="0"/>
                <a:cs typeface="Segoe UI Light" panose="020B0502040204020203" pitchFamily="34" charset="0"/>
              </a:rPr>
              <a:t> Name passt, finden Sie nicht? Wenn Sie jemals eine Frage zu Daten haben, klicken Sie auf diese Schaltfläche, und finden Sie heraus, ob Sie darauf Antworten erhalten.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fik 147" descr="Brille">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Bild 151" descr="Schaltfläche &quot;Schnellanalyse&quot;">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101648" y="3800940"/>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1457325</xdr:colOff>
      <xdr:row>21</xdr:row>
      <xdr:rowOff>146685</xdr:rowOff>
    </xdr:to>
    <xdr:grpSp>
      <xdr:nvGrpSpPr>
        <xdr:cNvPr id="5" name="Gruppieren 4" descr="BONUSAUFGABE&#10;Möchten Sie eine Datentabelle direkt unterhalb des Diagramms anzeigen? Klicken Sie auf das Diagramm. Klicken Sie auf der Registerkarte Diagrammtools auf Entwurf. Klicken Sie dann auf Diagrammelement hinzufügen &gt; Daten tabelle &gt; Mit Legendensymbolen.&#10;">
          <a:extLst>
            <a:ext uri="{FF2B5EF4-FFF2-40B4-BE49-F238E27FC236}">
              <a16:creationId xmlns:a16="http://schemas.microsoft.com/office/drawing/2014/main" id="{FBAEC2C8-8F29-4E3B-9074-EB1EF5E2CFA5}"/>
            </a:ext>
          </a:extLst>
        </xdr:cNvPr>
        <xdr:cNvGrpSpPr/>
      </xdr:nvGrpSpPr>
      <xdr:grpSpPr>
        <a:xfrm>
          <a:off x="7277100" y="3211830"/>
          <a:ext cx="3364230" cy="1504950"/>
          <a:chOff x="7096125" y="3419475"/>
          <a:chExt cx="3286125" cy="1257300"/>
        </a:xfrm>
      </xdr:grpSpPr>
      <xdr:sp macro="" textlink="">
        <xdr:nvSpPr>
          <xdr:cNvPr id="40" name="Schritt" descr="BONUSAUFGABE&#10;Möchten Sie eine Datentabelle direkt unterhalb des Diagramms anzeigen? Klicken Sie auf das Diagramm. Klicken Sie auf der Registerkarte Diagrammtools auf Entwurf. Klicken Sie dann auf Diagrammelement hinzufügen &gt; Daten tabelle &gt; Mit Legendensymbolen.&#10;">
            <a:extLst>
              <a:ext uri="{FF2B5EF4-FFF2-40B4-BE49-F238E27FC236}">
                <a16:creationId xmlns:a16="http://schemas.microsoft.com/office/drawing/2014/main" id="{00000000-0008-0000-0900-000028000000}"/>
              </a:ext>
            </a:extLst>
          </xdr:cNvPr>
          <xdr:cNvSpPr txBox="1"/>
        </xdr:nvSpPr>
        <xdr:spPr>
          <a:xfrm>
            <a:off x="7455706" y="3419475"/>
            <a:ext cx="2926544"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BONUSAUFGABE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Möchten Sie eine Datentabelle direkt unterhalb</a:t>
            </a:r>
            <a:r>
              <a:rPr lang="de" sz="1100" kern="0" baseline="0">
                <a:solidFill>
                  <a:schemeClr val="bg2">
                    <a:lumMod val="25000"/>
                  </a:schemeClr>
                </a:solidFill>
                <a:ea typeface="Segoe UI" pitchFamily="34" charset="0"/>
                <a:cs typeface="Segoe UI Light" panose="020B0502040204020203" pitchFamily="34" charset="0"/>
              </a:rPr>
              <a:t> des Diagramms anzeigen? Klicken Sie auf das Diagramm. Klicken Sie auf der Registerkarte </a:t>
            </a:r>
            <a:r>
              <a:rPr lang="de" sz="1100" b="1" kern="0" baseline="0">
                <a:solidFill>
                  <a:schemeClr val="bg2">
                    <a:lumMod val="25000"/>
                  </a:schemeClr>
                </a:solidFill>
                <a:ea typeface="Segoe UI" pitchFamily="34" charset="0"/>
                <a:cs typeface="Segoe UI Light" panose="020B0502040204020203" pitchFamily="34" charset="0"/>
              </a:rPr>
              <a:t>Diagrammentwurf </a:t>
            </a:r>
            <a:r>
              <a:rPr lang="de" sz="1100" kern="0" baseline="0">
                <a:solidFill>
                  <a:schemeClr val="bg2">
                    <a:lumMod val="25000"/>
                  </a:schemeClr>
                </a:solidFill>
                <a:ea typeface="Segoe UI" pitchFamily="34" charset="0"/>
                <a:cs typeface="Segoe UI Light" panose="020B0502040204020203" pitchFamily="34" charset="0"/>
              </a:rPr>
              <a:t>auf </a:t>
            </a:r>
            <a:r>
              <a:rPr lang="de" sz="1100" b="1" kern="0" baseline="0">
                <a:solidFill>
                  <a:schemeClr val="bg2">
                    <a:lumMod val="25000"/>
                  </a:schemeClr>
                </a:solidFill>
                <a:ea typeface="Segoe UI" pitchFamily="34" charset="0"/>
                <a:cs typeface="Segoe UI Light" panose="020B0502040204020203" pitchFamily="34" charset="0"/>
              </a:rPr>
              <a:t>Entwurf</a:t>
            </a:r>
            <a:r>
              <a:rPr lang="de" sz="1100" kern="0" baseline="0">
                <a:solidFill>
                  <a:schemeClr val="bg2">
                    <a:lumMod val="25000"/>
                  </a:schemeClr>
                </a:solidFill>
                <a:ea typeface="Segoe UI" pitchFamily="34" charset="0"/>
                <a:cs typeface="Segoe UI Light" panose="020B0502040204020203" pitchFamily="34" charset="0"/>
              </a:rPr>
              <a:t>. Klicken Sie dann auf </a:t>
            </a:r>
            <a:r>
              <a:rPr lang="de" sz="1100" b="1" kern="0" baseline="0">
                <a:solidFill>
                  <a:schemeClr val="bg2">
                    <a:lumMod val="25000"/>
                  </a:schemeClr>
                </a:solidFill>
                <a:ea typeface="Segoe UI" pitchFamily="34" charset="0"/>
                <a:cs typeface="Segoe UI Light" panose="020B0502040204020203" pitchFamily="34" charset="0"/>
              </a:rPr>
              <a:t>Diagrammelement hinzufügen</a:t>
            </a:r>
            <a:r>
              <a:rPr lang="de" sz="1100" kern="0" baseline="0">
                <a:solidFill>
                  <a:schemeClr val="bg2">
                    <a:lumMod val="25000"/>
                  </a:schemeClr>
                </a:solidFill>
                <a:ea typeface="Segoe UI" pitchFamily="34" charset="0"/>
                <a:cs typeface="Segoe UI Light" panose="020B0502040204020203" pitchFamily="34" charset="0"/>
              </a:rPr>
              <a:t> &gt; </a:t>
            </a:r>
            <a:r>
              <a:rPr lang="de" sz="1100" b="1" kern="0" baseline="0">
                <a:solidFill>
                  <a:schemeClr val="bg2">
                    <a:lumMod val="25000"/>
                  </a:schemeClr>
                </a:solidFill>
                <a:ea typeface="Segoe UI" pitchFamily="34" charset="0"/>
                <a:cs typeface="Segoe UI Light" panose="020B0502040204020203" pitchFamily="34" charset="0"/>
              </a:rPr>
              <a:t>Datentabelle</a:t>
            </a:r>
            <a:r>
              <a:rPr lang="de" sz="1100" kern="0" baseline="0">
                <a:solidFill>
                  <a:schemeClr val="bg2">
                    <a:lumMod val="25000"/>
                  </a:schemeClr>
                </a:solidFill>
                <a:ea typeface="Segoe UI" pitchFamily="34" charset="0"/>
                <a:cs typeface="Segoe UI Light" panose="020B0502040204020203" pitchFamily="34" charset="0"/>
              </a:rPr>
              <a:t> &gt; </a:t>
            </a:r>
            <a:r>
              <a:rPr lang="de" sz="1100" b="1" kern="0" baseline="0">
                <a:solidFill>
                  <a:schemeClr val="bg2">
                    <a:lumMod val="25000"/>
                  </a:schemeClr>
                </a:solidFill>
                <a:ea typeface="Segoe UI" pitchFamily="34" charset="0"/>
                <a:cs typeface="Segoe UI Light" panose="020B0502040204020203" pitchFamily="34" charset="0"/>
              </a:rPr>
              <a:t>Mit</a:t>
            </a:r>
            <a:r>
              <a:rPr lang="de" sz="1100" kern="0" baseline="0">
                <a:solidFill>
                  <a:schemeClr val="bg2">
                    <a:lumMod val="25000"/>
                  </a:schemeClr>
                </a:solidFill>
                <a:ea typeface="Segoe UI" pitchFamily="34" charset="0"/>
                <a:cs typeface="Segoe UI Light" panose="020B0502040204020203" pitchFamily="34" charset="0"/>
              </a:rPr>
              <a:t> </a:t>
            </a:r>
            <a:r>
              <a:rPr lang="de" sz="1100" b="1" kern="0" baseline="0">
                <a:solidFill>
                  <a:schemeClr val="bg2">
                    <a:lumMod val="25000"/>
                  </a:schemeClr>
                </a:solidFill>
                <a:ea typeface="Segoe UI" pitchFamily="34" charset="0"/>
                <a:cs typeface="Segoe UI Light" panose="020B0502040204020203" pitchFamily="34" charset="0"/>
              </a:rPr>
              <a:t>Legendensymbolen</a:t>
            </a:r>
            <a:r>
              <a:rPr lang="de"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fik 263" descr="Menüband">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390525</xdr:colOff>
      <xdr:row>0</xdr:row>
      <xdr:rowOff>266700</xdr:rowOff>
    </xdr:from>
    <xdr:to>
      <xdr:col>1</xdr:col>
      <xdr:colOff>5238750</xdr:colOff>
      <xdr:row>25</xdr:row>
      <xdr:rowOff>123825</xdr:rowOff>
    </xdr:to>
    <xdr:grpSp>
      <xdr:nvGrpSpPr>
        <xdr:cNvPr id="77" name="Überzeugende Diagramme, von Excel vorgeschlagen"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92430" y="266700"/>
          <a:ext cx="5709285" cy="5193030"/>
          <a:chOff x="0" y="0"/>
          <a:chExt cx="5695950" cy="5191125"/>
        </a:xfrm>
      </xdr:grpSpPr>
      <xdr:sp macro="" textlink="">
        <xdr:nvSpPr>
          <xdr:cNvPr id="78" name="Rechteck 77" descr="Hintergrund">
            <a:extLst>
              <a:ext uri="{FF2B5EF4-FFF2-40B4-BE49-F238E27FC236}">
                <a16:creationId xmlns:a16="http://schemas.microsoft.com/office/drawing/2014/main" id="{00000000-0008-0000-0900-00004E000000}"/>
              </a:ext>
            </a:extLst>
          </xdr:cNvPr>
          <xdr:cNvSpPr/>
        </xdr:nvSpPr>
        <xdr:spPr>
          <a:xfrm>
            <a:off x="0" y="0"/>
            <a:ext cx="5695950" cy="51911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Schritt" descr="Überzeugende Diagramme, von Excel vorgeschlagen">
            <a:extLst>
              <a:ext uri="{FF2B5EF4-FFF2-40B4-BE49-F238E27FC236}">
                <a16:creationId xmlns:a16="http://schemas.microsoft.com/office/drawing/2014/main" id="{00000000-0008-0000-0900-00004F000000}"/>
              </a:ext>
            </a:extLst>
          </xdr:cNvPr>
          <xdr:cNvSpPr txBox="1"/>
        </xdr:nvSpPr>
        <xdr:spPr>
          <a:xfrm>
            <a:off x="231748" y="118698"/>
            <a:ext cx="5216551" cy="89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Überzeugende Diagramme, von Excel vorgeschlagen</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Gerader Verbinder 79" descr="Dekorative Linie">
            <a:extLst>
              <a:ext uri="{FF2B5EF4-FFF2-40B4-BE49-F238E27FC236}">
                <a16:creationId xmlns:a16="http://schemas.microsoft.com/office/drawing/2014/main" id="{00000000-0008-0000-0900-000050000000}"/>
              </a:ext>
            </a:extLst>
          </xdr:cNvPr>
          <xdr:cNvCxnSpPr>
            <a:cxnSpLocks/>
          </xdr:cNvCxnSpPr>
        </xdr:nvCxnSpPr>
        <xdr:spPr>
          <a:xfrm>
            <a:off x="234924" y="10833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Schaltfläche &quot;Weiter&quot;" descr="Mehr Details erfahren">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44425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82" name="Gerader Verbinder 81" descr="Dekorative Linie">
            <a:extLst>
              <a:ext uri="{FF2B5EF4-FFF2-40B4-BE49-F238E27FC236}">
                <a16:creationId xmlns:a16="http://schemas.microsoft.com/office/drawing/2014/main" id="{00000000-0008-0000-0900-000052000000}"/>
              </a:ext>
            </a:extLst>
          </xdr:cNvPr>
          <xdr:cNvCxnSpPr>
            <a:cxnSpLocks/>
          </xdr:cNvCxnSpPr>
        </xdr:nvCxnSpPr>
        <xdr:spPr>
          <a:xfrm>
            <a:off x="234924" y="41814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900-000053000000}"/>
              </a:ext>
            </a:extLst>
          </xdr:cNvPr>
          <xdr:cNvSpPr/>
        </xdr:nvSpPr>
        <xdr:spPr>
          <a:xfrm>
            <a:off x="3971925" y="4442582"/>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84" name="Schritt" descr="Klicken Sie an beliebiger Stelle auf die Daten auf der rechten Seite, und klicken Sie dann auf &quot;Einfügen&quot; &gt; &quot;Empfohlene Diagramme&quot;">
            <a:extLst>
              <a:ext uri="{FF2B5EF4-FFF2-40B4-BE49-F238E27FC236}">
                <a16:creationId xmlns:a16="http://schemas.microsoft.com/office/drawing/2014/main" id="{00000000-0008-0000-0900-000054000000}"/>
              </a:ext>
            </a:extLst>
          </xdr:cNvPr>
          <xdr:cNvSpPr txBox="1"/>
        </xdr:nvSpPr>
        <xdr:spPr>
          <a:xfrm>
            <a:off x="638783" y="1223851"/>
            <a:ext cx="4809516" cy="500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an beliebiger Stelle auf die Daten auf der rechten Seite, und dann auf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Einfügen</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Empfohlene</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Diagramme</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Ellipse 84" descr="1">
            <a:extLst>
              <a:ext uri="{FF2B5EF4-FFF2-40B4-BE49-F238E27FC236}">
                <a16:creationId xmlns:a16="http://schemas.microsoft.com/office/drawing/2014/main" id="{00000000-0008-0000-0900-000055000000}"/>
              </a:ext>
            </a:extLst>
          </xdr:cNvPr>
          <xdr:cNvSpPr/>
        </xdr:nvSpPr>
        <xdr:spPr>
          <a:xfrm>
            <a:off x="231749" y="12289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86" name="Schritt" descr="Es werden mehrere Empfehlungen angezeigt. Klicken Sie auf die zweite auf der linken Seite mit der Bezeichnung &quot;Gruppierte Säulen&quot;. Klicken Sie dann auf OK.">
            <a:extLst>
              <a:ext uri="{FF2B5EF4-FFF2-40B4-BE49-F238E27FC236}">
                <a16:creationId xmlns:a16="http://schemas.microsoft.com/office/drawing/2014/main" id="{00000000-0008-0000-0900-000056000000}"/>
              </a:ext>
            </a:extLst>
          </xdr:cNvPr>
          <xdr:cNvSpPr txBox="1"/>
        </xdr:nvSpPr>
        <xdr:spPr>
          <a:xfrm>
            <a:off x="638782" y="17384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 werden mehrere Empfehlungen angezeigt. Klicken Sie auf die zweite auf der linken Seite mit dem Namen Gruppierte Säulen. Klicken Sie dann auf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Ellipse 86" descr="2">
            <a:extLst>
              <a:ext uri="{FF2B5EF4-FFF2-40B4-BE49-F238E27FC236}">
                <a16:creationId xmlns:a16="http://schemas.microsoft.com/office/drawing/2014/main" id="{00000000-0008-0000-0900-000057000000}"/>
              </a:ext>
            </a:extLst>
          </xdr:cNvPr>
          <xdr:cNvSpPr/>
        </xdr:nvSpPr>
        <xdr:spPr>
          <a:xfrm>
            <a:off x="231749" y="17340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88" name="Schritt" descr="Ein Säulendiagramm mit der Gesamtzahl der Konferenzteilnehmer pro Jahr wird angezeigt. Sie können es beliebig verschieben.">
            <a:extLst>
              <a:ext uri="{FF2B5EF4-FFF2-40B4-BE49-F238E27FC236}">
                <a16:creationId xmlns:a16="http://schemas.microsoft.com/office/drawing/2014/main" id="{00000000-0008-0000-0900-000058000000}"/>
              </a:ext>
            </a:extLst>
          </xdr:cNvPr>
          <xdr:cNvSpPr txBox="1"/>
        </xdr:nvSpPr>
        <xdr:spPr>
          <a:xfrm>
            <a:off x="638782" y="2235532"/>
            <a:ext cx="4961917"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Ein Säulendiagramm wird angezeigt, das die Gesamtzahl der Konferenzteilnehmer pro Jahr darstellt. Sie können es nach Belieben verschieben.</a:t>
            </a:r>
          </a:p>
        </xdr:txBody>
      </xdr:sp>
      <xdr:sp macro="" textlink="">
        <xdr:nvSpPr>
          <xdr:cNvPr id="89" name="Ellipse 88" descr="3">
            <a:extLst>
              <a:ext uri="{FF2B5EF4-FFF2-40B4-BE49-F238E27FC236}">
                <a16:creationId xmlns:a16="http://schemas.microsoft.com/office/drawing/2014/main" id="{00000000-0008-0000-0900-000059000000}"/>
              </a:ext>
            </a:extLst>
          </xdr:cNvPr>
          <xdr:cNvSpPr/>
        </xdr:nvSpPr>
        <xdr:spPr>
          <a:xfrm>
            <a:off x="231749" y="22311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90" name="Schritt" descr="Sie können nun eine Trendlinie hinzufügen. Wählen Sie das Diagramm aus, und die Registerkarte &quot;Diagrammtools&quot; wird oben im Excel-Fenster angezeigt.">
            <a:extLst>
              <a:ext uri="{FF2B5EF4-FFF2-40B4-BE49-F238E27FC236}">
                <a16:creationId xmlns:a16="http://schemas.microsoft.com/office/drawing/2014/main" id="{00000000-0008-0000-0900-00005A000000}"/>
              </a:ext>
            </a:extLst>
          </xdr:cNvPr>
          <xdr:cNvSpPr txBox="1"/>
        </xdr:nvSpPr>
        <xdr:spPr>
          <a:xfrm>
            <a:off x="638783" y="271255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Jetzt fügen Sie eine Trendlinie hinzu. Wählen Sie das Diagramm aus, dann wird oben im Excel-Fenster die Registerkarte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Diagrammentwyrf</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angezeigt. </a:t>
            </a:r>
          </a:p>
        </xdr:txBody>
      </xdr:sp>
      <xdr:sp macro="" textlink="">
        <xdr:nvSpPr>
          <xdr:cNvPr id="91" name="Ellipse 90" descr="4">
            <a:extLst>
              <a:ext uri="{FF2B5EF4-FFF2-40B4-BE49-F238E27FC236}">
                <a16:creationId xmlns:a16="http://schemas.microsoft.com/office/drawing/2014/main" id="{00000000-0008-0000-0900-00005B000000}"/>
              </a:ext>
            </a:extLst>
          </xdr:cNvPr>
          <xdr:cNvSpPr/>
        </xdr:nvSpPr>
        <xdr:spPr>
          <a:xfrm>
            <a:off x="231749" y="27272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92" name="Schritt" descr="Klicken Sie auf der Registerkarte &quot;Diagrammtools&quot; auf &quot;Entwurf&quot;. Klicken Sie dann auf Diagrammelement hinzufügen &gt; Trendlinie &gt; Linear. Jetzt verfügen Sie über eine Trendlinie, die die allgemeine Richtung der im Laufe der Zeit verkauften Einheiten anzeigt.">
            <a:extLst>
              <a:ext uri="{FF2B5EF4-FFF2-40B4-BE49-F238E27FC236}">
                <a16:creationId xmlns:a16="http://schemas.microsoft.com/office/drawing/2014/main" id="{00000000-0008-0000-0900-00005C000000}"/>
              </a:ext>
            </a:extLst>
          </xdr:cNvPr>
          <xdr:cNvSpPr txBox="1"/>
        </xdr:nvSpPr>
        <xdr:spPr>
          <a:xfrm>
            <a:off x="638783" y="3261136"/>
            <a:ext cx="4809516" cy="88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auf der Registerkarte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Diagrammentwyrf </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auf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Entwurf</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Klicken Sie dann auf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Diagrammelement hinzufügen</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Trendlinie</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Jetzt haben Sie eine Trendlinie, die die allgemeine Richtung für die im zeitlichen Verlauf verkauften Einheiten anzeigt.</a:t>
            </a:r>
          </a:p>
        </xdr:txBody>
      </xdr:sp>
      <xdr:sp macro="" textlink="">
        <xdr:nvSpPr>
          <xdr:cNvPr id="93" name="Ellipse 92" descr="5">
            <a:extLst>
              <a:ext uri="{FF2B5EF4-FFF2-40B4-BE49-F238E27FC236}">
                <a16:creationId xmlns:a16="http://schemas.microsoft.com/office/drawing/2014/main" id="{00000000-0008-0000-0900-00005D000000}"/>
              </a:ext>
            </a:extLst>
          </xdr:cNvPr>
          <xdr:cNvSpPr/>
        </xdr:nvSpPr>
        <xdr:spPr>
          <a:xfrm>
            <a:off x="231749" y="32757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27</xdr:row>
      <xdr:rowOff>0</xdr:rowOff>
    </xdr:from>
    <xdr:to>
      <xdr:col>1</xdr:col>
      <xdr:colOff>5238750</xdr:colOff>
      <xdr:row>49</xdr:row>
      <xdr:rowOff>104775</xdr:rowOff>
    </xdr:to>
    <xdr:grpSp>
      <xdr:nvGrpSpPr>
        <xdr:cNvPr id="12" name="Horizontale und vertikale Achsen"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2430" y="5715000"/>
          <a:ext cx="5709285" cy="4293870"/>
          <a:chOff x="390525" y="5943600"/>
          <a:chExt cx="5695950" cy="4295775"/>
        </a:xfrm>
      </xdr:grpSpPr>
      <xdr:sp macro="" textlink="">
        <xdr:nvSpPr>
          <xdr:cNvPr id="100" name="Rechteck 99" descr="Hintergrund">
            <a:extLst>
              <a:ext uri="{FF2B5EF4-FFF2-40B4-BE49-F238E27FC236}">
                <a16:creationId xmlns:a16="http://schemas.microsoft.com/office/drawing/2014/main" id="{00000000-0008-0000-0900-000064000000}"/>
              </a:ext>
            </a:extLst>
          </xdr:cNvPr>
          <xdr:cNvSpPr/>
        </xdr:nvSpPr>
        <xdr:spPr>
          <a:xfrm>
            <a:off x="390525" y="5943600"/>
            <a:ext cx="5695950" cy="4295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1" name="Gerader Verbinder 100" descr="Dekorative Lini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Gerader Verbinder 101" descr="Dekorative Linie">
            <a:extLst>
              <a:ext uri="{FF2B5EF4-FFF2-40B4-BE49-F238E27FC236}">
                <a16:creationId xmlns:a16="http://schemas.microsoft.com/office/drawing/2014/main" id="{00000000-0008-0000-0900-000066000000}"/>
              </a:ext>
            </a:extLst>
          </xdr:cNvPr>
          <xdr:cNvCxnSpPr>
            <a:cxnSpLocks/>
          </xdr:cNvCxnSpPr>
        </xdr:nvCxnSpPr>
        <xdr:spPr>
          <a:xfrm>
            <a:off x="625449" y="9912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chritt" descr="Horizontale und vertikale Achsen">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Horizontale und vertikale Achsen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chritt"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der Schule haben Sie vermutlich gelernt, dass es eine X-Achse und eine Y-Achse gibt. Excel verfügt ebenfalls über diese beiden Achsen, bezeichnet sie aber etwas anders.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heißen sie folgendermaßen:</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 X-Achse entlang der Unterkante wird als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Horizontale Achse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bezeichnet. </a:t>
            </a: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Die Y-Achse, die von oben nach unten verläuft, wird als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Vertikale Achse</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bezeichnet.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Jede Achse kann entweder eine Größenachse oder eine Rubrikenachse sein. </a:t>
            </a: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Größenachse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stellt Zahlenwerte dar. Beispielsweise kann eine Größenachse Euros, Stunden, die Dauer, die Temperatur usw. darstellen. Die vertikale Achse auf der rechten Seite ist eine Größenachse. </a:t>
            </a:r>
          </a:p>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Eine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Rubrikenachse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stellt Dinge wie Datumswerte, die Namen von Personen oder Produktnamen dar. Die horizontale Achse auf der rechten Achse stellt Jahre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dar, also handelt es sich um eine Rubrikenachse.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Diagramm mit Sekundärachse" descr="Verbunddiagramm">
          <a:extLst>
            <a:ext uri="{FF2B5EF4-FFF2-40B4-BE49-F238E27FC236}">
              <a16:creationId xmlns:a16="http://schemas.microsoft.com/office/drawing/2014/main" id="{00000000-0008-0000-0900-00000E000000}"/>
            </a:ext>
          </a:extLst>
        </xdr:cNvPr>
        <xdr:cNvGrpSpPr/>
      </xdr:nvGrpSpPr>
      <xdr:grpSpPr>
        <a:xfrm>
          <a:off x="7520940" y="10416540"/>
          <a:ext cx="5605511" cy="2514600"/>
          <a:chOff x="7315200" y="10839450"/>
          <a:chExt cx="5443586" cy="2514600"/>
        </a:xfrm>
      </xdr:grpSpPr>
      <xdr:sp macro="" textlink="">
        <xdr:nvSpPr>
          <xdr:cNvPr id="131" name="Freihandform: Form 130" descr="Klammerlini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2" name="Freihandform: Form 131" descr="Klammerlini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Bogen 132" descr="Klammerlini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Bogen 133" descr="Klammerlini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0" name="Schritt" descr="Sekundärachse">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Sekundär-</a:t>
            </a:r>
          </a:p>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achse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29" name="Diagramm 128" descr="Verbunddiagramm">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50</xdr:row>
      <xdr:rowOff>180962</xdr:rowOff>
    </xdr:from>
    <xdr:to>
      <xdr:col>1</xdr:col>
      <xdr:colOff>5238750</xdr:colOff>
      <xdr:row>67</xdr:row>
      <xdr:rowOff>95250</xdr:rowOff>
    </xdr:to>
    <xdr:grpSp>
      <xdr:nvGrpSpPr>
        <xdr:cNvPr id="11" name="Sekundärachse"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2430" y="10275557"/>
          <a:ext cx="5709285" cy="3150883"/>
          <a:chOff x="390525" y="10810875"/>
          <a:chExt cx="5695950" cy="3034022"/>
        </a:xfrm>
      </xdr:grpSpPr>
      <xdr:sp macro="" textlink="">
        <xdr:nvSpPr>
          <xdr:cNvPr id="122" name="Rechteck 121" descr="Hintergrund">
            <a:extLst>
              <a:ext uri="{FF2B5EF4-FFF2-40B4-BE49-F238E27FC236}">
                <a16:creationId xmlns:a16="http://schemas.microsoft.com/office/drawing/2014/main" id="{00000000-0008-0000-0900-00007A000000}"/>
              </a:ext>
            </a:extLst>
          </xdr:cNvPr>
          <xdr:cNvSpPr/>
        </xdr:nvSpPr>
        <xdr:spPr>
          <a:xfrm>
            <a:off x="390525" y="10810875"/>
            <a:ext cx="5695950" cy="303402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23" name="Gerader Verbinder 122" descr="Dekorative Lini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Gerader Verbinder 123" descr="Dekorative Linie">
            <a:extLst>
              <a:ext uri="{FF2B5EF4-FFF2-40B4-BE49-F238E27FC236}">
                <a16:creationId xmlns:a16="http://schemas.microsoft.com/office/drawing/2014/main" id="{00000000-0008-0000-0900-00007C000000}"/>
              </a:ext>
            </a:extLst>
          </xdr:cNvPr>
          <xdr:cNvCxnSpPr>
            <a:cxnSpLocks/>
          </xdr:cNvCxnSpPr>
        </xdr:nvCxnSpPr>
        <xdr:spPr>
          <a:xfrm>
            <a:off x="625449" y="1357009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chritt" descr="Sekundärachse">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Sekundärachse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chritt"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5"/>
            <a:ext cx="5300938" cy="1993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Sie können in einem Diagramm auch eine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Sekundärachse</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verwenden. Eine Sekundärachse ist eine zusätzliche Größenachse, die andere Werte als die andere Größenachse zeigen kann.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Rechts finden Sie ein beliebtes Beispiel. Es handelt sich um das gleiche Diagramm wie oben, jedoch mit einer zusätzlichen Sekundärachse, die die Umsatzbeträge für die einzelnen Monate darstellt. Man könnte es auch so ausdrücken, dass Sie durch die Verwendung einer Sekundärachse fast "zwei Diagramme in einem" erhalten.” Das stimmt. Dieses Diagramm ist zugleich ein Säulendiagramm und ein Liniendiagramm. Diese Art von Diagrammen wird in Excel als </a:t>
            </a:r>
            <a:r>
              <a:rPr lang="de"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Verbunddiagramm</a:t>
            </a:r>
            <a:r>
              <a:rPr lang="de"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bezeichnet. Wenn Sie sich für diese Art von Diagramm interessieren, klicken Sie auf den Link unten auf diesem Blatt.</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2</xdr:col>
      <xdr:colOff>38100</xdr:colOff>
      <xdr:row>29</xdr:row>
      <xdr:rowOff>85725</xdr:rowOff>
    </xdr:from>
    <xdr:to>
      <xdr:col>6</xdr:col>
      <xdr:colOff>466725</xdr:colOff>
      <xdr:row>46</xdr:row>
      <xdr:rowOff>61120</xdr:rowOff>
    </xdr:to>
    <xdr:grpSp>
      <xdr:nvGrpSpPr>
        <xdr:cNvPr id="10" name="Diagramm mit horizontalen und vertikalen Achsen" descr="Diagramm, das über eine vertikale und eine horizontale Achse verfügt">
          <a:extLst>
            <a:ext uri="{FF2B5EF4-FFF2-40B4-BE49-F238E27FC236}">
              <a16:creationId xmlns:a16="http://schemas.microsoft.com/office/drawing/2014/main" id="{00000000-0008-0000-0900-00000A000000}"/>
            </a:ext>
          </a:extLst>
        </xdr:cNvPr>
        <xdr:cNvGrpSpPr/>
      </xdr:nvGrpSpPr>
      <xdr:grpSpPr>
        <a:xfrm>
          <a:off x="6591300" y="6183630"/>
          <a:ext cx="5764530" cy="3208180"/>
          <a:chOff x="5857875" y="6600825"/>
          <a:chExt cx="5610225" cy="3213895"/>
        </a:xfrm>
      </xdr:grpSpPr>
      <xdr:sp macro="" textlink="">
        <xdr:nvSpPr>
          <xdr:cNvPr id="116" name="Schritt" descr="Rubrikenachse">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(Rubrikenachse)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94" name="Diagramm 93" descr="Diagramm">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ihandform: Form 135" descr="Klammerlini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7" name="Freihandform: Form 136" descr="Klammerlini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8" name="Bogen 137" descr="Klammerlini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9" name="Bogen 138" descr="Klammerlini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Schritt" descr="Horizontale Achse">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Horizontale Achse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10" name="Schritt" descr="Vertikale Achse">
            <a:extLst>
              <a:ext uri="{FF2B5EF4-FFF2-40B4-BE49-F238E27FC236}">
                <a16:creationId xmlns:a16="http://schemas.microsoft.com/office/drawing/2014/main" id="{00000000-0008-0000-0900-00006E000000}"/>
              </a:ext>
            </a:extLst>
          </xdr:cNvPr>
          <xdr:cNvSpPr txBox="1"/>
        </xdr:nvSpPr>
        <xdr:spPr>
          <a:xfrm>
            <a:off x="58578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Vertikale Achse</a:t>
            </a:r>
          </a:p>
        </xdr:txBody>
      </xdr:sp>
      <xdr:sp macro="" textlink="">
        <xdr:nvSpPr>
          <xdr:cNvPr id="115" name="Schritt" descr="Größenachse">
            <a:extLst>
              <a:ext uri="{FF2B5EF4-FFF2-40B4-BE49-F238E27FC236}">
                <a16:creationId xmlns:a16="http://schemas.microsoft.com/office/drawing/2014/main" id="{00000000-0008-0000-0900-000073000000}"/>
              </a:ext>
            </a:extLst>
          </xdr:cNvPr>
          <xdr:cNvSpPr txBox="1"/>
        </xdr:nvSpPr>
        <xdr:spPr>
          <a:xfrm>
            <a:off x="58578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(Größenachse)</a:t>
            </a:r>
          </a:p>
        </xdr:txBody>
      </xdr:sp>
      <xdr:sp macro="" textlink="">
        <xdr:nvSpPr>
          <xdr:cNvPr id="142" name="Freihandform: Form 141" descr="Klammerlini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3" name="Freihandform: Form 142" descr="Klammerlini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Bogen 143" descr="Klammerlini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5" name="Bogen 144" descr="Klammerlini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68</xdr:row>
      <xdr:rowOff>180975</xdr:rowOff>
    </xdr:from>
    <xdr:to>
      <xdr:col>1</xdr:col>
      <xdr:colOff>5238750</xdr:colOff>
      <xdr:row>86</xdr:row>
      <xdr:rowOff>19050</xdr:rowOff>
    </xdr:to>
    <xdr:grpSp>
      <xdr:nvGrpSpPr>
        <xdr:cNvPr id="146" name="Mehr im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2430" y="13704570"/>
          <a:ext cx="5709285" cy="3265170"/>
          <a:chOff x="0" y="0"/>
          <a:chExt cx="5695950" cy="3267075"/>
        </a:xfrm>
      </xdr:grpSpPr>
      <xdr:sp macro="" textlink="">
        <xdr:nvSpPr>
          <xdr:cNvPr id="147" name="Rechteck 146" descr="Hintergr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8" name="Schritt" descr="Weitere Informationen im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Gerader Verbinder 148" descr="Dekorative Lini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Schaltfläche &quot;Weiter&quot;" descr="Zurück zum Anfang, mit Link zur Zelle A1">
            <a:hlinkClick xmlns:r="http://schemas.openxmlformats.org/officeDocument/2006/relationships" r:id="rId7" tooltip="Auswählen, um zur Zelle A1 auf diesem Arbeitsblatt zu gelangen"/>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51" name="Gerader Verbinder 150" descr="Dekorative Lini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Schaltfläche &quot;Weiter&quot;" descr="Schaltfläche „Nächster Schritt“ mit Link zum nächsten Blatt">
            <a:hlinkClick xmlns:r="http://schemas.openxmlformats.org/officeDocument/2006/relationships" r:id="rId4" tooltip="Auswählen, um zum nächsten Schritt zu wechseln"/>
            <a:extLst>
              <a:ext uri="{FF2B5EF4-FFF2-40B4-BE49-F238E27FC236}">
                <a16:creationId xmlns:a16="http://schemas.microsoft.com/office/drawing/2014/main" id="{00000000-0008-0000-0900-000098000000}"/>
              </a:ext>
            </a:extLst>
          </xdr:cNvPr>
          <xdr:cNvSpPr/>
        </xdr:nvSpPr>
        <xdr:spPr>
          <a:xfrm>
            <a:off x="4010025" y="2693277"/>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53" name="Schritt" descr="Erstellen eines Diagramms von Anfang bis Ende, mit Link ins Web">
            <a:hlinkClick xmlns:r="http://schemas.openxmlformats.org/officeDocument/2006/relationships" r:id="rId8" tooltip="Auswählen, um Informationen im Web zum Erstellen eines Diagramms von Anfang bis Ende anzuzeigen"/>
            <a:extLst>
              <a:ext uri="{FF2B5EF4-FFF2-40B4-BE49-F238E27FC236}">
                <a16:creationId xmlns:a16="http://schemas.microsoft.com/office/drawing/2014/main" id="{00000000-0008-0000-0900-000099000000}"/>
              </a:ext>
            </a:extLst>
          </xdr:cNvPr>
          <xdr:cNvSpPr txBox="1"/>
        </xdr:nvSpPr>
        <xdr:spPr>
          <a:xfrm>
            <a:off x="638783" y="794849"/>
            <a:ext cx="38474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Schritte zum Erstellen eines Diagramms</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54"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chritt" descr="Erstellen eines Verbunddiagramms mit einer Sekundärachse, mit Link ins Web">
            <a:hlinkClick xmlns:r="http://schemas.openxmlformats.org/officeDocument/2006/relationships" r:id="rId11" tooltip="Auswählen, um Informationen im Web zum Erstellen eines Verbunddiagramms mit einer sekundären Achse anzuzeigen"/>
            <a:extLst>
              <a:ext uri="{FF2B5EF4-FFF2-40B4-BE49-F238E27FC236}">
                <a16:creationId xmlns:a16="http://schemas.microsoft.com/office/drawing/2014/main" id="{00000000-0008-0000-0900-00009B000000}"/>
              </a:ext>
            </a:extLst>
          </xdr:cNvPr>
          <xdr:cNvSpPr txBox="1"/>
        </xdr:nvSpPr>
        <xdr:spPr>
          <a:xfrm>
            <a:off x="638783" y="1259456"/>
            <a:ext cx="4161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Erstellen eines Verbunddiagramms mit einer Sekundärachse</a:t>
            </a:r>
          </a:p>
        </xdr:txBody>
      </xdr:sp>
      <xdr:pic>
        <xdr:nvPicPr>
          <xdr:cNvPr id="156" name="Grafik 22" descr="Pfeil">
            <a:hlinkClick xmlns:r="http://schemas.openxmlformats.org/officeDocument/2006/relationships" r:id="rId11" tooltip="Auswählen, um weitere Informationen aus dem Web anzuzeigen"/>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chritt" descr="Verfügbare Diagrammtypen in Office, mit Link ins Web">
            <a:hlinkClick xmlns:r="http://schemas.openxmlformats.org/officeDocument/2006/relationships" r:id="rId12" tooltip="Auswählen, um weitere Informationen im Web zu den verfügbaren Diagrammtypen in Office anzuzeigen"/>
            <a:extLst>
              <a:ext uri="{FF2B5EF4-FFF2-40B4-BE49-F238E27FC236}">
                <a16:creationId xmlns:a16="http://schemas.microsoft.com/office/drawing/2014/main" id="{00000000-0008-0000-0900-00009D000000}"/>
              </a:ext>
            </a:extLst>
          </xdr:cNvPr>
          <xdr:cNvSpPr txBox="1"/>
        </xdr:nvSpPr>
        <xdr:spPr>
          <a:xfrm>
            <a:off x="638783" y="1726622"/>
            <a:ext cx="30569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Verfügbare Diagrammtypen in Office</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58"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Daten der Sekundärachse" descr="Daten zur Unterstützung der Sekundärachse oben">
          <a:extLst>
            <a:ext uri="{FF2B5EF4-FFF2-40B4-BE49-F238E27FC236}">
              <a16:creationId xmlns:a16="http://schemas.microsoft.com/office/drawing/2014/main" id="{00000000-0008-0000-0900-000002000000}"/>
            </a:ext>
          </a:extLst>
        </xdr:cNvPr>
        <xdr:cNvGrpSpPr/>
      </xdr:nvGrpSpPr>
      <xdr:grpSpPr>
        <a:xfrm>
          <a:off x="11990070" y="13395959"/>
          <a:ext cx="1485900" cy="1135381"/>
          <a:chOff x="11627124" y="13830299"/>
          <a:chExt cx="1447800" cy="1143001"/>
        </a:xfrm>
      </xdr:grpSpPr>
      <xdr:sp macro="" textlink="">
        <xdr:nvSpPr>
          <xdr:cNvPr id="160" name="Freihandform: Form 159" descr="Klammerlini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1" name="Freihandform: Form 160" descr="Klammerlini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2" name="Bogen 161" descr="Klammerlini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3" name="Bogen 162" descr="Klammerlini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4" name="Schritt" descr="Daten zur Unterstützung der Sekundärachse oben">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Daten zur Unterstützung der Sekundärachse oben</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pSp>
    <xdr:clientData/>
  </xdr:twoCellAnchor>
  <xdr:twoCellAnchor editAs="oneCell">
    <xdr:from>
      <xdr:col>2</xdr:col>
      <xdr:colOff>724558</xdr:colOff>
      <xdr:row>73</xdr:row>
      <xdr:rowOff>190499</xdr:rowOff>
    </xdr:from>
    <xdr:to>
      <xdr:col>4</xdr:col>
      <xdr:colOff>1362074</xdr:colOff>
      <xdr:row>82</xdr:row>
      <xdr:rowOff>180974</xdr:rowOff>
    </xdr:to>
    <xdr:grpSp>
      <xdr:nvGrpSpPr>
        <xdr:cNvPr id="3" name="BONUSAUFGABE" descr="BONUSAUFGABE: Versuchen Sie, ein Verbunddiagramm zu erstellen. Wählen Sie die Daten oben aus, und klicken Sie dann auf Einfügen &gt; Empfohlene Diagramme. Klicken Sie oben auf die Registerkarte &quot;Alle Diagramme&quot;, und klicken Sie dann unten auf das Kombinationsfeld. Klicken Sie auf der rechten Seite auf das Kontrollkästchen &quot;Sekundärachse für Lebensmittelverkäufe&quot;.">
          <a:extLst>
            <a:ext uri="{FF2B5EF4-FFF2-40B4-BE49-F238E27FC236}">
              <a16:creationId xmlns:a16="http://schemas.microsoft.com/office/drawing/2014/main" id="{00000000-0008-0000-0900-000003000000}"/>
            </a:ext>
          </a:extLst>
        </xdr:cNvPr>
        <xdr:cNvGrpSpPr/>
      </xdr:nvGrpSpPr>
      <xdr:grpSpPr>
        <a:xfrm>
          <a:off x="7277758" y="14668499"/>
          <a:ext cx="3264511" cy="1703070"/>
          <a:chOff x="7096125" y="15201899"/>
          <a:chExt cx="3190917" cy="1704975"/>
        </a:xfrm>
      </xdr:grpSpPr>
      <xdr:sp macro="" textlink="">
        <xdr:nvSpPr>
          <xdr:cNvPr id="165" name="Schritt" descr="BONUSAUFGABE&#10;Versuchen Sie, ein Verbunddiagramm zu erstellen. Wählen Sie die Daten oben aus, und klicken Sie dann auf Einfügen &gt; Empfohlene Diagramme. Klicken Sie oben auf die Registerkarte Alle Diagramme, und klicken Sie dann unten auf Verbund. Klicken Sie rechts auf das Kontrollkästchen für Umsätze Speisen der Sekundärachse.&#10;">
            <a:extLst>
              <a:ext uri="{FF2B5EF4-FFF2-40B4-BE49-F238E27FC236}">
                <a16:creationId xmlns:a16="http://schemas.microsoft.com/office/drawing/2014/main" id="{00000000-0008-0000-0900-0000A5000000}"/>
              </a:ext>
            </a:extLst>
          </xdr:cNvPr>
          <xdr:cNvSpPr txBox="1"/>
        </xdr:nvSpPr>
        <xdr:spPr>
          <a:xfrm>
            <a:off x="7455705" y="15201899"/>
            <a:ext cx="2831337" cy="170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BONUSAUFGABE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Versuchen Sie, ein Verbunddiagramm</a:t>
            </a:r>
            <a:r>
              <a:rPr lang="de" sz="1100" kern="0" baseline="0">
                <a:solidFill>
                  <a:schemeClr val="bg2">
                    <a:lumMod val="25000"/>
                  </a:schemeClr>
                </a:solidFill>
                <a:ea typeface="Segoe UI" pitchFamily="34" charset="0"/>
                <a:cs typeface="Segoe UI Light" panose="020B0502040204020203" pitchFamily="34" charset="0"/>
              </a:rPr>
              <a:t> zu erstellen. Wählen Sie die Daten oben aus, und klicken Sie dann auf </a:t>
            </a:r>
            <a:r>
              <a:rPr lang="de" sz="1100" b="1" kern="0" baseline="0">
                <a:solidFill>
                  <a:schemeClr val="bg2">
                    <a:lumMod val="25000"/>
                  </a:schemeClr>
                </a:solidFill>
                <a:ea typeface="Segoe UI" pitchFamily="34" charset="0"/>
                <a:cs typeface="Segoe UI Light" panose="020B0502040204020203" pitchFamily="34" charset="0"/>
              </a:rPr>
              <a:t>Einfügen</a:t>
            </a:r>
            <a:r>
              <a:rPr lang="de" sz="1100" kern="0" baseline="0">
                <a:solidFill>
                  <a:schemeClr val="bg2">
                    <a:lumMod val="25000"/>
                  </a:schemeClr>
                </a:solidFill>
                <a:ea typeface="Segoe UI" pitchFamily="34" charset="0"/>
                <a:cs typeface="Segoe UI Light" panose="020B0502040204020203" pitchFamily="34" charset="0"/>
              </a:rPr>
              <a:t> &gt; </a:t>
            </a:r>
            <a:r>
              <a:rPr lang="de" sz="1100" b="1" kern="0" baseline="0">
                <a:solidFill>
                  <a:schemeClr val="bg2">
                    <a:lumMod val="25000"/>
                  </a:schemeClr>
                </a:solidFill>
                <a:ea typeface="Segoe UI" pitchFamily="34" charset="0"/>
                <a:cs typeface="Segoe UI Light" panose="020B0502040204020203" pitchFamily="34" charset="0"/>
              </a:rPr>
              <a:t>Empfohlene Diagramme</a:t>
            </a:r>
            <a:r>
              <a:rPr lang="de" sz="1100" kern="0" baseline="0">
                <a:solidFill>
                  <a:schemeClr val="bg2">
                    <a:lumMod val="25000"/>
                  </a:schemeClr>
                </a:solidFill>
                <a:ea typeface="Segoe UI" pitchFamily="34" charset="0"/>
                <a:cs typeface="Segoe UI Light" panose="020B0502040204020203" pitchFamily="34" charset="0"/>
              </a:rPr>
              <a:t>. Klicken Sie oben auf die Registerkarte </a:t>
            </a:r>
            <a:r>
              <a:rPr lang="de" sz="1100" b="1" kern="0" baseline="0">
                <a:solidFill>
                  <a:schemeClr val="bg2">
                    <a:lumMod val="25000"/>
                  </a:schemeClr>
                </a:solidFill>
                <a:ea typeface="Segoe UI" pitchFamily="34" charset="0"/>
                <a:cs typeface="Segoe UI Light" panose="020B0502040204020203" pitchFamily="34" charset="0"/>
              </a:rPr>
              <a:t>Alle Diagramme</a:t>
            </a:r>
            <a:r>
              <a:rPr lang="de" sz="1100" kern="0" baseline="0">
                <a:solidFill>
                  <a:schemeClr val="bg2">
                    <a:lumMod val="25000"/>
                  </a:schemeClr>
                </a:solidFill>
                <a:ea typeface="Segoe UI" pitchFamily="34" charset="0"/>
                <a:cs typeface="Segoe UI Light" panose="020B0502040204020203" pitchFamily="34" charset="0"/>
              </a:rPr>
              <a:t>, und klicken Sie dann unten auf </a:t>
            </a:r>
            <a:r>
              <a:rPr lang="de" sz="1100" b="1" kern="0" baseline="0">
                <a:solidFill>
                  <a:schemeClr val="bg2">
                    <a:lumMod val="25000"/>
                  </a:schemeClr>
                </a:solidFill>
                <a:ea typeface="Segoe UI" pitchFamily="34" charset="0"/>
                <a:cs typeface="Segoe UI Light" panose="020B0502040204020203" pitchFamily="34" charset="0"/>
              </a:rPr>
              <a:t>Kombi</a:t>
            </a:r>
            <a:r>
              <a:rPr lang="de" sz="1100" kern="0" baseline="0">
                <a:solidFill>
                  <a:schemeClr val="bg2">
                    <a:lumMod val="25000"/>
                  </a:schemeClr>
                </a:solidFill>
                <a:ea typeface="Segoe UI" pitchFamily="34" charset="0"/>
                <a:cs typeface="Segoe UI Light" panose="020B0502040204020203" pitchFamily="34" charset="0"/>
              </a:rPr>
              <a:t>. Klicken Sie rechts auf das Kontrollkästchen für </a:t>
            </a:r>
            <a:r>
              <a:rPr lang="de" sz="1100" b="0" kern="0" baseline="0">
                <a:solidFill>
                  <a:schemeClr val="bg2">
                    <a:lumMod val="25000"/>
                  </a:schemeClr>
                </a:solidFill>
                <a:ea typeface="Segoe UI" pitchFamily="34" charset="0"/>
                <a:cs typeface="Segoe UI Light" panose="020B0502040204020203" pitchFamily="34" charset="0"/>
              </a:rPr>
              <a:t>Umsätze Speisen der </a:t>
            </a:r>
            <a:r>
              <a:rPr lang="en-US" sz="1100" b="1" kern="0" baseline="0">
                <a:solidFill>
                  <a:schemeClr val="bg2">
                    <a:lumMod val="25000"/>
                  </a:schemeClr>
                </a:solidFill>
                <a:ea typeface="Segoe UI" pitchFamily="34" charset="0"/>
                <a:cs typeface="Segoe UI Light" panose="020B0502040204020203" pitchFamily="34" charset="0"/>
              </a:rPr>
              <a:t>Essenumsatz</a:t>
            </a:r>
            <a:r>
              <a:rPr lang="de"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fik 263" descr="Menüband">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400050</xdr:colOff>
      <xdr:row>0</xdr:row>
      <xdr:rowOff>266700</xdr:rowOff>
    </xdr:from>
    <xdr:to>
      <xdr:col>1</xdr:col>
      <xdr:colOff>5248275</xdr:colOff>
      <xdr:row>25</xdr:row>
      <xdr:rowOff>0</xdr:rowOff>
    </xdr:to>
    <xdr:grpSp>
      <xdr:nvGrpSpPr>
        <xdr:cNvPr id="97" name="Zusammenfassen von Daten mit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96240" y="266700"/>
          <a:ext cx="5716905" cy="5067300"/>
          <a:chOff x="0" y="52174"/>
          <a:chExt cx="5695950" cy="5067300"/>
        </a:xfrm>
      </xdr:grpSpPr>
      <xdr:sp macro="" textlink="">
        <xdr:nvSpPr>
          <xdr:cNvPr id="98" name="Rechteck 97" descr="Hintergrund">
            <a:extLst>
              <a:ext uri="{FF2B5EF4-FFF2-40B4-BE49-F238E27FC236}">
                <a16:creationId xmlns:a16="http://schemas.microsoft.com/office/drawing/2014/main" id="{00000000-0008-0000-0A00-000062000000}"/>
              </a:ext>
            </a:extLst>
          </xdr:cNvPr>
          <xdr:cNvSpPr/>
        </xdr:nvSpPr>
        <xdr:spPr>
          <a:xfrm>
            <a:off x="0" y="52174"/>
            <a:ext cx="5695950" cy="50673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Schritt" descr="Zusammenfassen von Daten mit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Zusammenfassen von Daten mit PivotTables</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Gerader Verbinder 99" descr="Dekorative Lini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Schaltfläche &quot;Weiter&quot;" descr="Mehr Details erfahren">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44151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102" name="Gerader Verbinder 101" descr="Dekorative Linie">
            <a:extLst>
              <a:ext uri="{FF2B5EF4-FFF2-40B4-BE49-F238E27FC236}">
                <a16:creationId xmlns:a16="http://schemas.microsoft.com/office/drawing/2014/main" id="{00000000-0008-0000-0A00-000066000000}"/>
              </a:ext>
            </a:extLst>
          </xdr:cNvPr>
          <xdr:cNvCxnSpPr>
            <a:cxnSpLocks/>
          </xdr:cNvCxnSpPr>
        </xdr:nvCxnSpPr>
        <xdr:spPr>
          <a:xfrm>
            <a:off x="234924" y="41908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A00-000067000000}"/>
              </a:ext>
            </a:extLst>
          </xdr:cNvPr>
          <xdr:cNvSpPr/>
        </xdr:nvSpPr>
        <xdr:spPr>
          <a:xfrm>
            <a:off x="3990975" y="4415106"/>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04" name="Schritt" descr="Sehen Sie sich die Spalten Datum, Verkäufer, Produkt und Betrag an. Können Sie schnell ermitteln, welches Produkt am rentabelsten ist? Oder welcher Verkäufer der erfolgreichste ist? Hierbei kann die PivotTable unten hilfreich sein.">
            <a:extLst>
              <a:ext uri="{FF2B5EF4-FFF2-40B4-BE49-F238E27FC236}">
                <a16:creationId xmlns:a16="http://schemas.microsoft.com/office/drawing/2014/main" id="{00000000-0008-0000-0A00-000068000000}"/>
              </a:ext>
            </a:extLst>
          </xdr:cNvPr>
          <xdr:cNvSpPr txBox="1"/>
        </xdr:nvSpPr>
        <xdr:spPr>
          <a:xfrm>
            <a:off x="638783" y="766652"/>
            <a:ext cx="4809516" cy="942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Sehen Sie sich die Spalten "Datum", "Vertriebsmitarbeiter", "Produkt" und "Betrag" an. Können Sie schnell das profitabelste Produkt identifizieren? Oder angeben, welcher Verkäufer die größten Erfolge hat? Bei diesen Fragen kann die PivotTable unten weiterhelfen.</a:t>
            </a:r>
          </a:p>
        </xdr:txBody>
      </xdr:sp>
      <xdr:sp macro="" textlink="">
        <xdr:nvSpPr>
          <xdr:cNvPr id="105" name="Ellipse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06" name="Schritt" descr="Beim Erstellen der PivotTable haben wir auf ein paar Schaltflächen geklickt, sodass sich die Daten aufsummieren ließen. Jetzt wissen wir, welches Produkt am rentabelsten ist.">
            <a:extLst>
              <a:ext uri="{FF2B5EF4-FFF2-40B4-BE49-F238E27FC236}">
                <a16:creationId xmlns:a16="http://schemas.microsoft.com/office/drawing/2014/main" id="{00000000-0008-0000-0A00-00006A000000}"/>
              </a:ext>
            </a:extLst>
          </xdr:cNvPr>
          <xdr:cNvSpPr txBox="1"/>
        </xdr:nvSpPr>
        <xdr:spPr>
          <a:xfrm>
            <a:off x="638783" y="1579057"/>
            <a:ext cx="4809516" cy="65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Beim Erstellen der PivotTable haben wir auf ein paar Schaltflächen geklickt, sodass sich die Daten aufsummieren ließen. Daher wissen wir jetzt, welches Produkt das profitabelste ist. </a:t>
            </a:r>
          </a:p>
        </xdr:txBody>
      </xdr:sp>
      <xdr:sp macro="" textlink="">
        <xdr:nvSpPr>
          <xdr:cNvPr id="107" name="Ellipse 106" descr="2">
            <a:extLst>
              <a:ext uri="{FF2B5EF4-FFF2-40B4-BE49-F238E27FC236}">
                <a16:creationId xmlns:a16="http://schemas.microsoft.com/office/drawing/2014/main" id="{00000000-0008-0000-0A00-00006B000000}"/>
              </a:ext>
            </a:extLst>
          </xdr:cNvPr>
          <xdr:cNvSpPr/>
        </xdr:nvSpPr>
        <xdr:spPr>
          <a:xfrm>
            <a:off x="231749" y="1593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08" name="Schritt"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2226576"/>
            <a:ext cx="4809516" cy="854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Jetzt werden Sie die Daten pivotieren, damit Sie feststellen können, welcher Vertriebsmitarbeiter der erfolgreichste ist. Klicken Sie mit der rechten Maustaste auf eine beliebige Zelle innerhalb der PivotTable und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Feldliste anzeigen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Ellipse 108" descr="3">
            <a:extLst>
              <a:ext uri="{FF2B5EF4-FFF2-40B4-BE49-F238E27FC236}">
                <a16:creationId xmlns:a16="http://schemas.microsoft.com/office/drawing/2014/main" id="{00000000-0008-0000-0A00-00006D000000}"/>
              </a:ext>
            </a:extLst>
          </xdr:cNvPr>
          <xdr:cNvSpPr/>
        </xdr:nvSpPr>
        <xdr:spPr>
          <a:xfrm>
            <a:off x="231749" y="2222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10" name="Schritt" descr="Der Bereich &quot;PivotTable-Felder&quot; wird eingeblendet. Klicken Sie unten im Bereich unter Zeilen auf &quot;Produkt&quot;, und dann auf &quot;Feld entfernen&quot;.">
            <a:extLst>
              <a:ext uri="{FF2B5EF4-FFF2-40B4-BE49-F238E27FC236}">
                <a16:creationId xmlns:a16="http://schemas.microsoft.com/office/drawing/2014/main" id="{00000000-0008-0000-0A00-00006E000000}"/>
              </a:ext>
            </a:extLst>
          </xdr:cNvPr>
          <xdr:cNvSpPr txBox="1"/>
        </xdr:nvSpPr>
        <xdr:spPr>
          <a:xfrm>
            <a:off x="638783" y="3032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Der Bereich "PivotTable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-Felder" wird eingeblendet.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unten in dem Bereich unter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Zeilen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Produkt</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dann auf </a:t>
            </a: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Feld entfernen</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Ellipse 110" descr="4">
            <a:extLst>
              <a:ext uri="{FF2B5EF4-FFF2-40B4-BE49-F238E27FC236}">
                <a16:creationId xmlns:a16="http://schemas.microsoft.com/office/drawing/2014/main" id="{00000000-0008-0000-0A00-00006F000000}"/>
              </a:ext>
            </a:extLst>
          </xdr:cNvPr>
          <xdr:cNvSpPr/>
        </xdr:nvSpPr>
        <xdr:spPr>
          <a:xfrm>
            <a:off x="231749" y="30476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12" name="Schritt" descr="Klicken Sie oben im Bereich auf das Kontrollkästchen für Verkäufer. Jetzt können Sie sehen, wer der erfolgreichste Verkäufer ist.">
            <a:extLst>
              <a:ext uri="{FF2B5EF4-FFF2-40B4-BE49-F238E27FC236}">
                <a16:creationId xmlns:a16="http://schemas.microsoft.com/office/drawing/2014/main" id="{00000000-0008-0000-0A00-000070000000}"/>
              </a:ext>
            </a:extLst>
          </xdr:cNvPr>
          <xdr:cNvSpPr txBox="1"/>
        </xdr:nvSpPr>
        <xdr:spPr>
          <a:xfrm>
            <a:off x="638783" y="3526321"/>
            <a:ext cx="4809516" cy="48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oben in dem Bereich auf das Kontrollkästchen für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Verkäufer</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Jetzt können Sie sehen, wer der erfolgreichste Vertriebsmitarbeiter ist.</a:t>
            </a:r>
          </a:p>
        </xdr:txBody>
      </xdr:sp>
      <xdr:sp macro="" textlink="">
        <xdr:nvSpPr>
          <xdr:cNvPr id="113" name="Ellipse 112" descr="5">
            <a:extLst>
              <a:ext uri="{FF2B5EF4-FFF2-40B4-BE49-F238E27FC236}">
                <a16:creationId xmlns:a16="http://schemas.microsoft.com/office/drawing/2014/main" id="{00000000-0008-0000-0A00-000071000000}"/>
              </a:ext>
            </a:extLst>
          </xdr:cNvPr>
          <xdr:cNvSpPr/>
        </xdr:nvSpPr>
        <xdr:spPr>
          <a:xfrm>
            <a:off x="231749" y="35487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25</xdr:row>
      <xdr:rowOff>180975</xdr:rowOff>
    </xdr:from>
    <xdr:to>
      <xdr:col>1</xdr:col>
      <xdr:colOff>5238750</xdr:colOff>
      <xdr:row>56</xdr:row>
      <xdr:rowOff>12247</xdr:rowOff>
    </xdr:to>
    <xdr:grpSp>
      <xdr:nvGrpSpPr>
        <xdr:cNvPr id="4" name="Erstellen einer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2430" y="5513070"/>
          <a:ext cx="5709285" cy="5742487"/>
          <a:chOff x="390525" y="5943600"/>
          <a:chExt cx="5695950" cy="5647502"/>
        </a:xfrm>
      </xdr:grpSpPr>
      <xdr:sp macro="" textlink="">
        <xdr:nvSpPr>
          <xdr:cNvPr id="124" name="Rechteck 123" descr="Hintergr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5" name="Schritt" descr="Erstellen einer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Erstellen einer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Gerader Verbinder 125" descr="Dekorative Lini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Gerader Verbinder 133" descr="Dekorative Linie">
            <a:extLst>
              <a:ext uri="{FF2B5EF4-FFF2-40B4-BE49-F238E27FC236}">
                <a16:creationId xmlns:a16="http://schemas.microsoft.com/office/drawing/2014/main" id="{00000000-0008-0000-0A00-000086000000}"/>
              </a:ext>
            </a:extLst>
          </xdr:cNvPr>
          <xdr:cNvCxnSpPr>
            <a:cxnSpLocks/>
          </xdr:cNvCxnSpPr>
        </xdr:nvCxnSpPr>
        <xdr:spPr>
          <a:xfrm>
            <a:off x="625449" y="1137108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chritt" descr="Jetzt sollten Sie die PivotTable einmal selbst erstellen, damit Sie wissen, wie das geht, wenn Sie Daten zusammenfassen müssen.">
            <a:extLst>
              <a:ext uri="{FF2B5EF4-FFF2-40B4-BE49-F238E27FC236}">
                <a16:creationId xmlns:a16="http://schemas.microsoft.com/office/drawing/2014/main" id="{00000000-0008-0000-0A00-00007F000000}"/>
              </a:ext>
            </a:extLst>
          </xdr:cNvPr>
          <xdr:cNvSpPr txBox="1"/>
        </xdr:nvSpPr>
        <xdr:spPr>
          <a:xfrm>
            <a:off x="619125" y="6631401"/>
            <a:ext cx="5300938" cy="51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Jetzt sollten Sie die PivotTable einmal selbst erstellen, damit Sie wissen, wie das geht, wenn Sie Daten zusammenfassen müssen.</a:t>
            </a:r>
          </a:p>
        </xdr:txBody>
      </xdr:sp>
      <xdr:sp macro="" textlink="">
        <xdr:nvSpPr>
          <xdr:cNvPr id="128" name="Schritt" descr="Klicken Sie in den Daten auf der rechten Seite auf eine Zelle, und klicken Sie dann im Menü &quot;Einfügen&quot; auf &quot;PivotTable&quot;.">
            <a:extLst>
              <a:ext uri="{FF2B5EF4-FFF2-40B4-BE49-F238E27FC236}">
                <a16:creationId xmlns:a16="http://schemas.microsoft.com/office/drawing/2014/main" id="{00000000-0008-0000-0A00-000080000000}"/>
              </a:ext>
            </a:extLst>
          </xdr:cNvPr>
          <xdr:cNvSpPr txBox="1"/>
        </xdr:nvSpPr>
        <xdr:spPr>
          <a:xfrm>
            <a:off x="1029308" y="715252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in den Daten auf der rechten Seite auf eine Zelle und dann im Menü </a:t>
            </a:r>
            <a:r>
              <a:rPr lang="de" sz="1100" b="1">
                <a:solidFill>
                  <a:schemeClr val="tx1">
                    <a:lumMod val="75000"/>
                    <a:lumOff val="25000"/>
                  </a:schemeClr>
                </a:solidFill>
                <a:latin typeface="Segoe UI" panose="020B0502040204020203" pitchFamily="34" charset="0"/>
                <a:cs typeface="Segoe UI" panose="020B0502040204020203" pitchFamily="34" charset="0"/>
              </a:rPr>
              <a:t>Einfügen</a:t>
            </a:r>
            <a:r>
              <a:rPr lang="de" sz="1100">
                <a:solidFill>
                  <a:schemeClr val="tx1">
                    <a:lumMod val="75000"/>
                    <a:lumOff val="25000"/>
                  </a:schemeClr>
                </a:solidFill>
                <a:latin typeface="Segoe UI" panose="020B0502040204020203" pitchFamily="34" charset="0"/>
                <a:cs typeface="Segoe UI" panose="020B0502040204020203" pitchFamily="34" charset="0"/>
              </a:rPr>
              <a:t> auf </a:t>
            </a:r>
            <a:r>
              <a:rPr lang="de" sz="1100" b="1">
                <a:solidFill>
                  <a:schemeClr val="tx1">
                    <a:lumMod val="75000"/>
                    <a:lumOff val="25000"/>
                  </a:schemeClr>
                </a:solidFill>
                <a:latin typeface="Segoe UI" panose="020B0502040204020203" pitchFamily="34" charset="0"/>
                <a:cs typeface="Segoe UI" panose="020B0502040204020203" pitchFamily="34" charset="0"/>
              </a:rPr>
              <a:t>PivotTable</a:t>
            </a:r>
            <a:r>
              <a:rPr lang="de"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Ellipse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sp macro="" textlink="">
        <xdr:nvSpPr>
          <xdr:cNvPr id="130" name="Schritt" descr="Klicken Sie in dem dann angezeigten Dialogfeld auf &quot;Vorhandenes Arbeitsblatt&quot;, und geben Sie dann im Feld &quot;Quelle&quot; C42 ein. Klicken Sie auf &quot;OK&quot;.">
            <a:extLst>
              <a:ext uri="{FF2B5EF4-FFF2-40B4-BE49-F238E27FC236}">
                <a16:creationId xmlns:a16="http://schemas.microsoft.com/office/drawing/2014/main" id="{00000000-0008-0000-0A00-000082000000}"/>
              </a:ext>
            </a:extLst>
          </xdr:cNvPr>
          <xdr:cNvSpPr txBox="1"/>
        </xdr:nvSpPr>
        <xdr:spPr>
          <a:xfrm>
            <a:off x="1029307" y="7683295"/>
            <a:ext cx="4980967"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Klicken Sie in dem dann angezeigten Dialogfeld auf </a:t>
            </a:r>
            <a:r>
              <a:rPr lang="de" sz="1100" b="1">
                <a:solidFill>
                  <a:schemeClr val="tx1">
                    <a:lumMod val="75000"/>
                    <a:lumOff val="25000"/>
                  </a:schemeClr>
                </a:solidFill>
                <a:latin typeface="Segoe UI" panose="020B0502040204020203" pitchFamily="34" charset="0"/>
                <a:cs typeface="Segoe UI" panose="020B0502040204020203" pitchFamily="34" charset="0"/>
              </a:rPr>
              <a:t>Vorhandenes Arbeitsblatt</a:t>
            </a:r>
            <a:r>
              <a:rPr lang="de" sz="1100">
                <a:solidFill>
                  <a:schemeClr val="tx1">
                    <a:lumMod val="75000"/>
                    <a:lumOff val="25000"/>
                  </a:schemeClr>
                </a:solidFill>
                <a:latin typeface="Segoe UI" panose="020B0502040204020203" pitchFamily="34" charset="0"/>
                <a:cs typeface="Segoe UI" panose="020B0502040204020203" pitchFamily="34" charset="0"/>
              </a:rPr>
              <a:t>, und geben Sie dann im</a:t>
            </a:r>
            <a:r>
              <a:rPr lang="de" sz="1100" baseline="0">
                <a:solidFill>
                  <a:schemeClr val="tx1">
                    <a:lumMod val="75000"/>
                    <a:lumOff val="25000"/>
                  </a:schemeClr>
                </a:solidFill>
                <a:latin typeface="Segoe UI" panose="020B0502040204020203" pitchFamily="34" charset="0"/>
                <a:cs typeface="Segoe UI" panose="020B0502040204020203" pitchFamily="34" charset="0"/>
              </a:rPr>
              <a:t> Feld </a:t>
            </a:r>
            <a:r>
              <a:rPr lang="de" sz="1100" b="1" baseline="0">
                <a:solidFill>
                  <a:schemeClr val="tx1">
                    <a:lumMod val="75000"/>
                    <a:lumOff val="25000"/>
                  </a:schemeClr>
                </a:solidFill>
                <a:latin typeface="Segoe UI" panose="020B0502040204020203" pitchFamily="34" charset="0"/>
                <a:cs typeface="Segoe UI" panose="020B0502040204020203" pitchFamily="34" charset="0"/>
              </a:rPr>
              <a:t>Ziel</a:t>
            </a:r>
            <a:r>
              <a:rPr lang="de" sz="1100" baseline="0">
                <a:solidFill>
                  <a:schemeClr val="tx1">
                    <a:lumMod val="75000"/>
                    <a:lumOff val="25000"/>
                  </a:schemeClr>
                </a:solidFill>
                <a:latin typeface="Segoe UI" panose="020B0502040204020203" pitchFamily="34" charset="0"/>
                <a:cs typeface="Segoe UI" panose="020B0502040204020203" pitchFamily="34" charset="0"/>
              </a:rPr>
              <a:t> C42 ein. </a:t>
            </a:r>
            <a:r>
              <a:rPr lang="de" sz="1100">
                <a:solidFill>
                  <a:schemeClr val="tx1">
                    <a:lumMod val="75000"/>
                    <a:lumOff val="25000"/>
                  </a:schemeClr>
                </a:solidFill>
                <a:latin typeface="Segoe UI" panose="020B0502040204020203" pitchFamily="34" charset="0"/>
                <a:cs typeface="Segoe UI" panose="020B0502040204020203" pitchFamily="34" charset="0"/>
              </a:rPr>
              <a:t>Klicken Sie auf </a:t>
            </a:r>
            <a:r>
              <a:rPr lang="de" sz="1100" b="1">
                <a:solidFill>
                  <a:schemeClr val="tx1">
                    <a:lumMod val="75000"/>
                    <a:lumOff val="25000"/>
                  </a:schemeClr>
                </a:solidFill>
                <a:latin typeface="Segoe UI" panose="020B0502040204020203" pitchFamily="34" charset="0"/>
                <a:cs typeface="Segoe UI" panose="020B0502040204020203" pitchFamily="34" charset="0"/>
              </a:rPr>
              <a:t>OK</a:t>
            </a:r>
            <a:r>
              <a:rPr lang="de"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31" name="Ellipse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sp macro="" textlink="">
        <xdr:nvSpPr>
          <xdr:cNvPr id="132" name="Schritt" descr="Der Bereich &quot;PivotTable-Felder&quot; wird auf der rechten Seite eingeblendet.">
            <a:extLst>
              <a:ext uri="{FF2B5EF4-FFF2-40B4-BE49-F238E27FC236}">
                <a16:creationId xmlns:a16="http://schemas.microsoft.com/office/drawing/2014/main" id="{00000000-0008-0000-0A00-000084000000}"/>
              </a:ext>
            </a:extLst>
          </xdr:cNvPr>
          <xdr:cNvSpPr txBox="1"/>
        </xdr:nvSpPr>
        <xdr:spPr>
          <a:xfrm>
            <a:off x="1029308" y="8200873"/>
            <a:ext cx="4809516" cy="34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de" sz="1100">
                <a:solidFill>
                  <a:schemeClr val="tx1">
                    <a:lumMod val="75000"/>
                    <a:lumOff val="25000"/>
                  </a:schemeClr>
                </a:solidFill>
                <a:latin typeface="Segoe UI" panose="020B0502040204020203" pitchFamily="34" charset="0"/>
                <a:cs typeface="Segoe UI" panose="020B0502040204020203" pitchFamily="34" charset="0"/>
              </a:rPr>
              <a:t>Der Bereich </a:t>
            </a:r>
            <a:r>
              <a:rPr lang="de" sz="1100" b="1">
                <a:solidFill>
                  <a:schemeClr val="tx1">
                    <a:lumMod val="75000"/>
                    <a:lumOff val="25000"/>
                  </a:schemeClr>
                </a:solidFill>
                <a:latin typeface="Segoe UI" panose="020B0502040204020203" pitchFamily="34" charset="0"/>
                <a:cs typeface="Segoe UI" panose="020B0502040204020203" pitchFamily="34" charset="0"/>
              </a:rPr>
              <a:t>PivotTable-Felder</a:t>
            </a:r>
            <a:r>
              <a:rPr lang="de" sz="1100">
                <a:solidFill>
                  <a:schemeClr val="tx1">
                    <a:lumMod val="75000"/>
                    <a:lumOff val="25000"/>
                  </a:schemeClr>
                </a:solidFill>
                <a:latin typeface="Segoe UI" panose="020B0502040204020203" pitchFamily="34" charset="0"/>
                <a:cs typeface="Segoe UI" panose="020B0502040204020203" pitchFamily="34" charset="0"/>
              </a:rPr>
              <a:t> wird auf der rechten Seite eingeblendet.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3" name="Ellipse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116" name="Schritt"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653172"/>
            <a:ext cx="4819042" cy="105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oben in dem Bereich auf das Kontrollkästchen für </a:t>
            </a:r>
            <a:r>
              <a:rPr lang="de" sz="1100" b="1"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Produkt</a:t>
            </a: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Dabei wird das Feld "Produkt" dem Abschnitt "Zeilen" unten im Bereich hinzugefügt. Und die Produktdaten werden in der neuen PivotTable als </a:t>
            </a:r>
            <a:r>
              <a:rPr lang="de" sz="1100" b="1"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Zeilenbeschriftungen</a:t>
            </a: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angezeigt.</a:t>
            </a:r>
          </a:p>
        </xdr:txBody>
      </xdr:sp>
      <xdr:sp macro="" textlink="">
        <xdr:nvSpPr>
          <xdr:cNvPr id="117" name="Ellipse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sp macro="" textlink="">
        <xdr:nvSpPr>
          <xdr:cNvPr id="118" name="Schritt"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7556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Klicken Sie oben in dem Bereich auf das Kontrollkästchen für </a:t>
            </a:r>
            <a:r>
              <a:rPr lang="de" sz="1100" b="1"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Betrag</a:t>
            </a: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de" sz="110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Dabei wird das Feld "Betrag" dem Abschnitt "Werte" unten im Bereich hinzugefügt. Und zugleich werden die Beträge für jedes Produkt in der PivotTable addiert.</a:t>
            </a:r>
          </a:p>
        </xdr:txBody>
      </xdr:sp>
      <xdr:sp macro="" textlink="">
        <xdr:nvSpPr>
          <xdr:cNvPr id="119" name="Ellipse 118" descr="5">
            <a:extLst>
              <a:ext uri="{FF2B5EF4-FFF2-40B4-BE49-F238E27FC236}">
                <a16:creationId xmlns:a16="http://schemas.microsoft.com/office/drawing/2014/main" id="{00000000-0008-0000-0A00-000077000000}"/>
              </a:ext>
            </a:extLst>
          </xdr:cNvPr>
          <xdr:cNvSpPr/>
        </xdr:nvSpPr>
        <xdr:spPr>
          <a:xfrm>
            <a:off x="622274" y="96705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5</a:t>
            </a:r>
          </a:p>
        </xdr:txBody>
      </xdr:sp>
      <xdr:sp macro="" textlink="">
        <xdr:nvSpPr>
          <xdr:cNvPr id="120" name="Schritt" descr="Herzlichen Glückwunsch, Sie haben eine PivotTable erstellt. Aber Sie können noch viel mehr tun. Klicken Sie auf den Link unten auf diesem Blatt, wenn Sie mehr erfahren möchten.">
            <a:extLst>
              <a:ext uri="{FF2B5EF4-FFF2-40B4-BE49-F238E27FC236}">
                <a16:creationId xmlns:a16="http://schemas.microsoft.com/office/drawing/2014/main" id="{00000000-0008-0000-0A00-000078000000}"/>
              </a:ext>
            </a:extLst>
          </xdr:cNvPr>
          <xdr:cNvSpPr txBox="1"/>
        </xdr:nvSpPr>
        <xdr:spPr>
          <a:xfrm>
            <a:off x="1029308" y="10662100"/>
            <a:ext cx="4809516" cy="645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Herzlichen Glückwunsch, Sie haben eine PivotTable erstellt. Aber Sie können noch viel mehr tun. K</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licken Sie auf den Link unten auf diesem Blatt, wenn Sie mehr erfahren möchten.</a:t>
            </a:r>
          </a:p>
        </xdr:txBody>
      </xdr:sp>
      <xdr:sp macro="" textlink="">
        <xdr:nvSpPr>
          <xdr:cNvPr id="121" name="Ellipse 120" descr="6">
            <a:extLst>
              <a:ext uri="{FF2B5EF4-FFF2-40B4-BE49-F238E27FC236}">
                <a16:creationId xmlns:a16="http://schemas.microsoft.com/office/drawing/2014/main" id="{00000000-0008-0000-0A00-000079000000}"/>
              </a:ext>
            </a:extLst>
          </xdr:cNvPr>
          <xdr:cNvSpPr/>
        </xdr:nvSpPr>
        <xdr:spPr>
          <a:xfrm>
            <a:off x="622274" y="106477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6</a:t>
            </a:r>
          </a:p>
        </xdr:txBody>
      </xdr:sp>
      <xdr:pic>
        <xdr:nvPicPr>
          <xdr:cNvPr id="122" name="Bild 121" descr="Kontrollkästchen &quot;Produkt&quot;">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0996" t="41186" r="31057" b="35288"/>
          <a:stretch/>
        </xdr:blipFill>
        <xdr:spPr>
          <a:xfrm>
            <a:off x="5133975" y="8709750"/>
            <a:ext cx="775097" cy="196912"/>
          </a:xfrm>
          <a:prstGeom prst="rect">
            <a:avLst/>
          </a:prstGeom>
        </xdr:spPr>
      </xdr:pic>
      <xdr:pic>
        <xdr:nvPicPr>
          <xdr:cNvPr id="123" name="Bild 122" descr="Kontrollkästchen &quot;Betrag&quot;">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1993" t="61556" r="36981" b="12554"/>
          <a:stretch/>
        </xdr:blipFill>
        <xdr:spPr>
          <a:xfrm>
            <a:off x="5067300" y="9713067"/>
            <a:ext cx="712932" cy="243795"/>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ehr im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8326" y="11412038"/>
          <a:ext cx="5707380" cy="2971600"/>
          <a:chOff x="0" y="1"/>
          <a:chExt cx="5695950" cy="3005750"/>
        </a:xfrm>
      </xdr:grpSpPr>
      <xdr:sp macro="" textlink="">
        <xdr:nvSpPr>
          <xdr:cNvPr id="136" name="Rechteck 135" descr="Hintergr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7" name="Schritt" descr="Weitere Informationen im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Gerader Verbinder 137" descr="Dekorative Lini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Schaltfläche &quot;Weiter&quot;" descr="Zurück zum Anfang, mit Link zur Zelle A1">
            <a:hlinkClick xmlns:r="http://schemas.openxmlformats.org/officeDocument/2006/relationships" r:id="rId4" tooltip="Auswählen, um zur Zelle A1 auf diesem Arbeitsblatt zu gelangen"/>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40" name="Gerader Verbinder 139" descr="Dekorative Lini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Schaltfläche &quot;Weiter&quot;" descr="Schaltfläche „Nächster Schritt“ mit Link zum nächsten Blatt">
            <a:hlinkClick xmlns:r="http://schemas.openxmlformats.org/officeDocument/2006/relationships" r:id="rId2" tooltip="Auswählen, um zum nächsten Schritt zu wechseln"/>
            <a:extLst>
              <a:ext uri="{FF2B5EF4-FFF2-40B4-BE49-F238E27FC236}">
                <a16:creationId xmlns:a16="http://schemas.microsoft.com/office/drawing/2014/main" id="{00000000-0008-0000-0A00-00008D000000}"/>
              </a:ext>
            </a:extLst>
          </xdr:cNvPr>
          <xdr:cNvSpPr/>
        </xdr:nvSpPr>
        <xdr:spPr>
          <a:xfrm>
            <a:off x="3986984" y="2360603"/>
            <a:ext cx="1476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42" name="Schritt" descr="Erstellen einer PivotTable zum Analysieren von Arbeitsblattdaten, mit Link ins Web">
            <a:hlinkClick xmlns:r="http://schemas.openxmlformats.org/officeDocument/2006/relationships" r:id="rId5" tooltip="Auswählen, um das Erstellen einer PivotTable mit Informationen aus dem Web zu erlernen, um Arbeitsblattdaten zu analysieren"/>
            <a:extLst>
              <a:ext uri="{FF2B5EF4-FFF2-40B4-BE49-F238E27FC236}">
                <a16:creationId xmlns:a16="http://schemas.microsoft.com/office/drawing/2014/main" id="{00000000-0008-0000-0A00-00008E000000}"/>
              </a:ext>
            </a:extLst>
          </xdr:cNvPr>
          <xdr:cNvSpPr txBox="1"/>
        </xdr:nvSpPr>
        <xdr:spPr>
          <a:xfrm>
            <a:off x="638783" y="794849"/>
            <a:ext cx="46245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Erstellen einer PivotTable zum Analysieren von Arbeitsblattdaten</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3"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chritt" descr="Verwenden der Feldliste zum Anordnen von Feldern in einer PivotTable, mit Link ins Web">
            <a:hlinkClick xmlns:r="http://schemas.openxmlformats.org/officeDocument/2006/relationships" r:id="rId8" tooltip="Auswählen, um Informationen aus dem Web zum Verwenden der Feldliste zum Anordnen der Felder in einer PivotTable anzuzeigen"/>
            <a:extLst>
              <a:ext uri="{FF2B5EF4-FFF2-40B4-BE49-F238E27FC236}">
                <a16:creationId xmlns:a16="http://schemas.microsoft.com/office/drawing/2014/main" id="{00000000-0008-0000-0A00-000090000000}"/>
              </a:ext>
            </a:extLst>
          </xdr:cNvPr>
          <xdr:cNvSpPr txBox="1"/>
        </xdr:nvSpPr>
        <xdr:spPr>
          <a:xfrm>
            <a:off x="638782" y="1259456"/>
            <a:ext cx="485315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der Feldliste, um Felder in einer PivotTable anzuordnen</a:t>
            </a:r>
          </a:p>
          <a:p>
            <a:pPr lvl="0" rtl="0">
              <a:defRPr/>
            </a:pPr>
            <a:endPar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5"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823962</xdr:colOff>
      <xdr:row>13</xdr:row>
      <xdr:rowOff>72761</xdr:rowOff>
    </xdr:to>
    <xdr:grpSp>
      <xdr:nvGrpSpPr>
        <xdr:cNvPr id="2" name="PivotTable-Pfeil" descr="Pfeil, der auf eine PivotTable zeigt">
          <a:extLst>
            <a:ext uri="{FF2B5EF4-FFF2-40B4-BE49-F238E27FC236}">
              <a16:creationId xmlns:a16="http://schemas.microsoft.com/office/drawing/2014/main" id="{00000000-0008-0000-0A00-000002000000}"/>
            </a:ext>
          </a:extLst>
        </xdr:cNvPr>
        <xdr:cNvGrpSpPr/>
      </xdr:nvGrpSpPr>
      <xdr:grpSpPr>
        <a:xfrm>
          <a:off x="6831330" y="2455376"/>
          <a:ext cx="1427847" cy="665385"/>
          <a:chOff x="6810375" y="2584916"/>
          <a:chExt cx="1404987" cy="669195"/>
        </a:xfrm>
      </xdr:grpSpPr>
      <xdr:sp macro="" textlink="">
        <xdr:nvSpPr>
          <xdr:cNvPr id="69" name="Bogen 68" descr="Pfeil">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70" name="Schritt"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Gerader Verbinder 43" descr="Dekorative Lini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7</xdr:col>
      <xdr:colOff>123825</xdr:colOff>
      <xdr:row>28</xdr:row>
      <xdr:rowOff>110803</xdr:rowOff>
    </xdr:to>
    <xdr:grpSp>
      <xdr:nvGrpSpPr>
        <xdr:cNvPr id="8" name="Gruppe 7" descr="Weitere Fragen zu Excel? Klicken Sie auf die Schaltfläche &quot;Sie wünschen&quot;, und geben Sie den gewünschten Suchbegriff ein. Machen Sie weiter. Es gibt viele weitere Möglichkeiten, Ihre Arbeit zu vereinfachen: LinkedIn Learning Video-Kurse für alle Stufen – vom Anfänger bis zum Fortgeschrittenen, für das Selbststudium. Community Stellen Sie Fragen und setzen Sie sich mit anderen Excel-Fans in Verbindung. Was gibt‘s sonst Neues? Wir fügen im Rahmen Ihres Abonnements auch weiterhin neue Features hinzu. Feedback zu dieser Tour geben">
          <a:extLst>
            <a:ext uri="{FF2B5EF4-FFF2-40B4-BE49-F238E27FC236}">
              <a16:creationId xmlns:a16="http://schemas.microsoft.com/office/drawing/2014/main" id="{0B5BCAF4-F100-4FAC-ABBE-24D74C2FDEF9}"/>
            </a:ext>
          </a:extLst>
        </xdr:cNvPr>
        <xdr:cNvGrpSpPr/>
      </xdr:nvGrpSpPr>
      <xdr:grpSpPr>
        <a:xfrm>
          <a:off x="167641" y="281940"/>
          <a:ext cx="10140314" cy="5734363"/>
          <a:chOff x="171451" y="285750"/>
          <a:chExt cx="9839324" cy="5730553"/>
        </a:xfrm>
      </xdr:grpSpPr>
      <xdr:grpSp>
        <xdr:nvGrpSpPr>
          <xdr:cNvPr id="7" name="Gruppe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839324" cy="5730553"/>
            <a:chOff x="171451" y="285750"/>
            <a:chExt cx="9839324" cy="5730553"/>
          </a:xfrm>
        </xdr:grpSpPr>
        <xdr:grpSp>
          <xdr:nvGrpSpPr>
            <xdr:cNvPr id="3" name="Gruppe 2">
              <a:extLst>
                <a:ext uri="{FF2B5EF4-FFF2-40B4-BE49-F238E27FC236}">
                  <a16:creationId xmlns:a16="http://schemas.microsoft.com/office/drawing/2014/main" id="{2D3AF418-A094-466E-AB09-35BE09D72168}"/>
                </a:ext>
              </a:extLst>
            </xdr:cNvPr>
            <xdr:cNvGrpSpPr/>
          </xdr:nvGrpSpPr>
          <xdr:grpSpPr>
            <a:xfrm>
              <a:off x="171451" y="285750"/>
              <a:ext cx="9839324" cy="5730553"/>
              <a:chOff x="171451" y="285750"/>
              <a:chExt cx="9839324" cy="5730553"/>
            </a:xfrm>
          </xdr:grpSpPr>
          <xdr:sp macro="" textlink="">
            <xdr:nvSpPr>
              <xdr:cNvPr id="27" name="Rechteck 26" descr="Hintergrund">
                <a:extLst>
                  <a:ext uri="{FF2B5EF4-FFF2-40B4-BE49-F238E27FC236}">
                    <a16:creationId xmlns:a16="http://schemas.microsoft.com/office/drawing/2014/main" id="{8856A1CF-C007-4B5A-86B7-F041D589198F}"/>
                  </a:ext>
                </a:extLst>
              </xdr:cNvPr>
              <xdr:cNvSpPr/>
            </xdr:nvSpPr>
            <xdr:spPr>
              <a:xfrm>
                <a:off x="171451" y="285750"/>
                <a:ext cx="9829799"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28" name="Rechteck 27" descr="Hintergrund">
                <a:extLst>
                  <a:ext uri="{FF2B5EF4-FFF2-40B4-BE49-F238E27FC236}">
                    <a16:creationId xmlns:a16="http://schemas.microsoft.com/office/drawing/2014/main" id="{B10C30BB-E92E-46F6-BF4F-711FFD237B75}"/>
                  </a:ext>
                </a:extLst>
              </xdr:cNvPr>
              <xdr:cNvSpPr/>
            </xdr:nvSpPr>
            <xdr:spPr>
              <a:xfrm>
                <a:off x="171451" y="1332861"/>
                <a:ext cx="9839324"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31" name="Begrüßungsnachricht" descr="Es gibt viele weitere Möglichkeiten, Ihre Arbeit zu vereinfachen:">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de"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Machen Sie weiter. Es gibt noch mehr über Excel zu lernen:</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Begrüßungsnachricht" descr="Weitere Fragen zu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de" sz="2600" b="0" i="0" baseline="0">
                  <a:solidFill>
                    <a:schemeClr val="bg1"/>
                  </a:solidFill>
                  <a:effectLst/>
                  <a:latin typeface="Segoe UI Light" pitchFamily="34" charset="0"/>
                  <a:ea typeface="Segoe UI" pitchFamily="34" charset="0"/>
                  <a:cs typeface="Segoe UI" pitchFamily="34" charset="0"/>
                </a:rPr>
                <a:t>Weitere Fragen zu Excel?</a:t>
              </a:r>
              <a:endParaRPr lang="en-US" sz="2600" b="0">
                <a:latin typeface="Segoe UI Light" pitchFamily="34" charset="0"/>
                <a:ea typeface="Segoe UI" pitchFamily="34" charset="0"/>
                <a:cs typeface="Segoe UI" pitchFamily="34" charset="0"/>
              </a:endParaRPr>
            </a:p>
          </xdr:txBody>
        </xdr:sp>
        <xdr:pic>
          <xdr:nvPicPr>
            <xdr:cNvPr id="41" name="Bild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3972458" y="1545068"/>
              <a:ext cx="685267" cy="789546"/>
            </a:xfrm>
            <a:prstGeom prst="rect">
              <a:avLst/>
            </a:prstGeom>
          </xdr:spPr>
        </xdr:pic>
        <xdr:sp macro="" textlink="">
          <xdr:nvSpPr>
            <xdr:cNvPr id="42" name="Begrüßungsnachricht" descr="Klicken Sie auf Schaltfläche &quot;Sie wünschen&quot;, und geben Sie den gewünschten Suchbegriff ein.">
              <a:extLst>
                <a:ext uri="{FF2B5EF4-FFF2-40B4-BE49-F238E27FC236}">
                  <a16:creationId xmlns:a16="http://schemas.microsoft.com/office/drawing/2014/main" id="{6BA48AEB-67F6-45A7-BE08-E3BD0264BF49}"/>
                </a:ext>
              </a:extLst>
            </xdr:cNvPr>
            <xdr:cNvSpPr txBox="1"/>
          </xdr:nvSpPr>
          <xdr:spPr>
            <a:xfrm>
              <a:off x="762519" y="1762816"/>
              <a:ext cx="7324205"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de"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klicken Sie auf die Schaltfläche </a:t>
              </a:r>
              <a:r>
                <a:rPr lang="de"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Hilfe               </a:t>
              </a:r>
              <a:r>
                <a:rPr lang="de"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 um mehr über Excel zu erfahren. </a:t>
              </a:r>
            </a:p>
          </xdr:txBody>
        </xdr:sp>
        <xdr:cxnSp macro="">
          <xdr:nvCxnSpPr>
            <xdr:cNvPr id="45" name="Gerader Verbinder 44" descr="Dekorative Linie">
              <a:extLst>
                <a:ext uri="{FF2B5EF4-FFF2-40B4-BE49-F238E27FC236}">
                  <a16:creationId xmlns:a16="http://schemas.microsoft.com/office/drawing/2014/main" id="{786E0672-FFB1-4FFF-9F0B-81AC8D00972E}"/>
                </a:ext>
              </a:extLst>
            </xdr:cNvPr>
            <xdr:cNvCxnSpPr/>
          </xdr:nvCxnSpPr>
          <xdr:spPr>
            <a:xfrm>
              <a:off x="792715" y="5169339"/>
              <a:ext cx="9094235"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feld 37" descr="Weitere Informationen">
              <a:hlinkClick xmlns:r="http://schemas.openxmlformats.org/officeDocument/2006/relationships" r:id="rId2" tooltip="Auswählen, um weitere Informationen anzuzeigen"/>
              <a:extLst>
                <a:ext uri="{FF2B5EF4-FFF2-40B4-BE49-F238E27FC236}">
                  <a16:creationId xmlns:a16="http://schemas.microsoft.com/office/drawing/2014/main" id="{66C3B3BB-A6A3-4CC8-9475-F3402CDF6730}"/>
                </a:ext>
              </a:extLst>
            </xdr:cNvPr>
            <xdr:cNvSpPr txBox="1"/>
          </xdr:nvSpPr>
          <xdr:spPr>
            <a:xfrm>
              <a:off x="2038350" y="4682775"/>
              <a:ext cx="1828800"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Weitere Informationen</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feld 38" descr="Weitere Informationen">
              <a:hlinkClick xmlns:r="http://schemas.openxmlformats.org/officeDocument/2006/relationships" r:id="rId3" tooltip="Auswählen, um weitere Informationen anzuzeigen"/>
              <a:extLst>
                <a:ext uri="{FF2B5EF4-FFF2-40B4-BE49-F238E27FC236}">
                  <a16:creationId xmlns:a16="http://schemas.microsoft.com/office/drawing/2014/main" id="{F204882E-8102-4F0D-94C6-6A7BA4A9910A}"/>
                </a:ext>
              </a:extLst>
            </xdr:cNvPr>
            <xdr:cNvSpPr txBox="1"/>
          </xdr:nvSpPr>
          <xdr:spPr>
            <a:xfrm>
              <a:off x="4882022" y="4682775"/>
              <a:ext cx="1995027"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Weitere Informationen (nur in englischer Sprache)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feld 39" descr="Weitere Informationen">
              <a:hlinkClick xmlns:r="http://schemas.openxmlformats.org/officeDocument/2006/relationships" r:id="rId4" tooltip="Auswählen, um weitere Informationen anzuzeigen"/>
              <a:extLst>
                <a:ext uri="{FF2B5EF4-FFF2-40B4-BE49-F238E27FC236}">
                  <a16:creationId xmlns:a16="http://schemas.microsoft.com/office/drawing/2014/main" id="{2E432F11-D4FE-4736-8D68-2D1E8279A7EF}"/>
                </a:ext>
              </a:extLst>
            </xdr:cNvPr>
            <xdr:cNvSpPr txBox="1"/>
          </xdr:nvSpPr>
          <xdr:spPr>
            <a:xfrm>
              <a:off x="7805491" y="4682775"/>
              <a:ext cx="180523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Weitere Informationen</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feld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537827" cy="1209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Stellen Sie Fragen, und setzen Sie sich mit anderen Excel-Fans in Verbindung.</a:t>
              </a:r>
            </a:p>
          </xdr:txBody>
        </xdr:sp>
        <xdr:sp macro="" textlink="">
          <xdr:nvSpPr>
            <xdr:cNvPr id="50" name="Textfeld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1" y="3322371"/>
              <a:ext cx="1543050" cy="131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Video-Kurse für alle Stufen – vom Anfänger bis zum Fortgeschrittenen. Für das Selbststudium.</a:t>
              </a:r>
            </a:p>
          </xdr:txBody>
        </xdr:sp>
        <xdr:pic>
          <xdr:nvPicPr>
            <xdr:cNvPr id="60" name="Bild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feld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0" y="3324224"/>
              <a:ext cx="1800225" cy="1323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Sonstige Neuigkeiten</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365-Abonnenten erhalten fortlaufend Updates und neue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Bild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uppe 56" descr="Sonstige Neuigkeiten">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fik 48" descr="Zeitung">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uppe 55" descr="Ausgehende Linien">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Gerader Verbinder 50" descr="Lini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Gerader Verbinder 51" descr="Lini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Gerader Verbinder 52" descr="Lini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Gerader Verbinder 53" descr="Lini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Gerader Verbinder 54" descr="Lini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Office_42323433_TF10000137.xlt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3963.409637268516" createdVersion="6" refreshedVersion="6" minRefreshableVersion="3" recordCount="6" xr:uid="{00000000-000A-0000-FFFF-FFFF03000000}">
  <cacheSource type="worksheet">
    <worksheetSource name="PivotTableDaten" r:id="rId2"/>
  </cacheSource>
  <cacheFields count="4">
    <cacheField name="Datum" numFmtId="14">
      <sharedItems containsSemiMixedTypes="0" containsNonDate="0" containsDate="1" containsString="0" minDate="2020-03-16T00:00:00" maxDate="2020-05-13T00:00:00"/>
    </cacheField>
    <cacheField name="Verkäufer" numFmtId="0">
      <sharedItems/>
    </cacheField>
    <cacheField name="Produkt" numFmtId="0">
      <sharedItems count="3">
        <s v="Bier"/>
        <s v="Wein"/>
        <s v="Soda"/>
      </sharedItems>
    </cacheField>
    <cacheField name="Betrag"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0-03-16T00:00:00"/>
    <s v="Anna"/>
    <x v="0"/>
    <n v="1400"/>
  </r>
  <r>
    <d v="2020-03-21T00:00:00"/>
    <s v="Maximilian"/>
    <x v="1"/>
    <n v="1010"/>
  </r>
  <r>
    <d v="2020-04-07T00:00:00"/>
    <s v="Anna"/>
    <x v="0"/>
    <n v="750"/>
  </r>
  <r>
    <d v="2020-04-11T00:00:00"/>
    <s v="Maximilian"/>
    <x v="2"/>
    <n v="510"/>
  </r>
  <r>
    <d v="2020-05-01T00:00:00"/>
    <s v="Marie"/>
    <x v="2"/>
    <n v="1600"/>
  </r>
  <r>
    <d v="2020-05-12T00:00:00"/>
    <s v="Louis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Beispie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howAll="0" defaultSubtotal="0"/>
    <pivotField showAll="0" defaultSubtotal="0"/>
    <pivotField axis="axisRow" showAll="0" defaultSubtotal="0">
      <items count="3">
        <item x="0"/>
        <item x="2"/>
        <item x="1"/>
      </items>
    </pivotField>
    <pivotField dataField="1" numFmtId="42" showAll="0" defaultSubtotal="0"/>
  </pivotFields>
  <rowFields count="1">
    <field x="2"/>
  </rowFields>
  <rowItems count="4">
    <i>
      <x/>
    </i>
    <i>
      <x v="1"/>
    </i>
    <i>
      <x v="2"/>
    </i>
    <i t="grand">
      <x/>
    </i>
  </rowItems>
  <colItems count="1">
    <i/>
  </colItems>
  <dataFields count="1">
    <dataField name="Gesamt von Betrag" fld="3" baseField="2" baseItem="1" numFmtId="42"/>
  </dataFields>
  <formats count="3">
    <format dxfId="8">
      <pivotArea outline="0" collapsedLevelsAreSubtotals="1" fieldPosition="0"/>
    </format>
    <format dxfId="7">
      <pivotArea grandRow="1" outline="0" collapsedLevelsAreSubtotals="1" fieldPosition="0"/>
    </format>
    <format dxfId="6">
      <pivotArea outline="0" fieldPosition="0">
        <references count="1">
          <reference field="4294967294" count="1">
            <x v="0"/>
          </reference>
        </references>
      </pivotArea>
    </format>
  </formats>
  <pivotTableStyleInfo name="PivotTable-Formatvorlage 1" showRowHeaders="1" showColHeaders="1" showRowStripes="0" showColStripes="0" showLastColumn="1"/>
  <extLst>
    <ext xmlns:x14="http://schemas.microsoft.com/office/spreadsheetml/2009/9/main" uri="{962EF5D1-5CA2-4c93-8EF4-DBF5C05439D2}">
      <x14:pivotTableDefinition xmlns:xm="http://schemas.microsoft.com/office/excel/2006/main" altTextSummary="Beispiel-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ieren" displayName="Sortieren" ref="C31:F37">
  <autoFilter ref="C31:F37" xr:uid="{00000000-0009-0000-0100-00000C000000}"/>
  <tableColumns count="4">
    <tableColumn id="1" xr3:uid="{00000000-0010-0000-0000-000001000000}" name="Datum der Ausgabe" totalsRowLabel="Gesamt" dataCellStyle="Datum"/>
    <tableColumn id="2" xr3:uid="{00000000-0010-0000-0000-000002000000}" name="Mitarbeiter"/>
    <tableColumn id="4" xr3:uid="{00000000-0010-0000-0000-000004000000}" name="Essen" dataDxfId="26"/>
    <tableColumn id="5" xr3:uid="{00000000-0010-0000-0000-000005000000}" name="Hotel" totalsRowFunction="sum" dataDxfId="25" totalsRowDxfId="24"/>
  </tableColumns>
  <tableStyleInfo name="FormatvorlageBenutzerdefinierteTabelle" showFirstColumn="0" showLastColumn="0" showRowStripes="1" showColumnStripes="0"/>
  <extLst>
    <ext xmlns:x14="http://schemas.microsoft.com/office/spreadsheetml/2009/9/main" uri="{504A1905-F514-4f6f-8877-14C23A59335A}">
      <x14:table altTextSummary="Sortieren nach Datum oder nach Farbbeispieltabelle mit vier Spalten: Spesendatum, Mitarbeiter, Verpflegung u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n" displayName="Filtern" ref="C49:F55">
  <autoFilter ref="C49:F55" xr:uid="{00000000-0009-0000-0100-00000D000000}"/>
  <tableColumns count="4">
    <tableColumn id="1" xr3:uid="{00000000-0010-0000-0100-000001000000}" name="Datum der Ausgabe" totalsRowLabel="Gesamt" dataCellStyle="Datum"/>
    <tableColumn id="2" xr3:uid="{00000000-0010-0000-0100-000002000000}" name="Mitarbeiter"/>
    <tableColumn id="4" xr3:uid="{00000000-0010-0000-0100-000004000000}" name="Essen" dataDxfId="23"/>
    <tableColumn id="5" xr3:uid="{00000000-0010-0000-0100-000005000000}" name="Hotel" totalsRowFunction="sum" dataDxfId="22" totalsRowDxfId="21"/>
  </tableColumns>
  <tableStyleInfo name="FormatvorlageBenutzerdefinierteTabelle" showFirstColumn="0" showLastColumn="0" showRowStripes="1" showColumnStripes="0"/>
  <extLst>
    <ext xmlns:x14="http://schemas.microsoft.com/office/spreadsheetml/2009/9/main" uri="{504A1905-F514-4f6f-8877-14C23A59335A}">
      <x14:table altTextSummary="Mehr Möglichkeiten zum Filtern der Datenbeispieltabelle mit vier Spalten: Spesendatum, Mitarbeiter, Verpflegung u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BerechneteSpalten" displayName="BerechneteSpalten" ref="C33:H41">
  <autoFilter ref="C33:H41" xr:uid="{00000000-0009-0000-0100-000002000000}"/>
  <tableColumns count="6">
    <tableColumn id="1" xr3:uid="{00000000-0010-0000-0200-000001000000}" name="Abteilung" totalsRowLabel="Gesamt"/>
    <tableColumn id="2" xr3:uid="{00000000-0010-0000-0200-000002000000}" name="Kategorie"/>
    <tableColumn id="3" xr3:uid="{00000000-0010-0000-0200-000003000000}" name="Okt" totalsRowDxfId="20"/>
    <tableColumn id="4" xr3:uid="{00000000-0010-0000-0200-000004000000}" name="Nov" totalsRowDxfId="19"/>
    <tableColumn id="5" xr3:uid="{00000000-0010-0000-0200-000005000000}" name="Dez" totalsRowDxfId="18"/>
    <tableColumn id="6" xr3:uid="{00000000-0010-0000-0200-000006000000}" name="Gesamt" totalsRowFunction="count" totalsRowDxfId="17"/>
  </tableColumns>
  <tableStyleInfo name="FormatvorlageBenutzerdefinierteTabelle" showFirstColumn="0" showLastColumn="0" showRowStripes="1" showColumnStripes="0"/>
  <extLst>
    <ext xmlns:x14="http://schemas.microsoft.com/office/spreadsheetml/2009/9/main" uri="{504A1905-F514-4f6f-8877-14C23A59335A}">
      <x14:table altTextSummary="Beispieltabelle zur Veranschaulichung von berechneten Spalten in Tabelle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ErgebnisZeilen" displayName="ErgebnisZeilen" ref="C53:E61">
  <autoFilter ref="C53:E61" xr:uid="{00000000-0009-0000-0100-000003000000}"/>
  <tableColumns count="3">
    <tableColumn id="1" xr3:uid="{00000000-0010-0000-0300-000001000000}" name="Abteilung" totalsRowLabel="Gesamt" dataDxfId="16"/>
    <tableColumn id="2" xr3:uid="{00000000-0010-0000-0300-000002000000}" name="Kategorie" dataDxfId="15"/>
    <tableColumn id="6" xr3:uid="{00000000-0010-0000-0300-000006000000}" name="Umsätze" totalsRowFunction="sum" totalsRowDxfId="14"/>
  </tableColumns>
  <tableStyleInfo name="FormatvorlageBenutzerdefinierteTabelle" showFirstColumn="0" showLastColumn="0" showRowStripes="1" showColumnStripes="0"/>
  <extLst>
    <ext xmlns:x14="http://schemas.microsoft.com/office/spreadsheetml/2009/9/main" uri="{504A1905-F514-4f6f-8877-14C23A59335A}">
      <x14:table altTextSummary="Beispieltabelle zur Veranschaulichung von Ergebniszeilen in Tabell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DatenAnalyse" displayName="DatenAnalyse" ref="C5:G13">
  <autoFilter ref="C5:G13" xr:uid="{00000000-0009-0000-0100-000010000000}"/>
  <tableColumns count="5">
    <tableColumn id="1" xr3:uid="{00000000-0010-0000-0400-000001000000}" name="Abteilung" totalsRowLabel="Gesamt"/>
    <tableColumn id="2" xr3:uid="{00000000-0010-0000-0400-000002000000}" name="Kategorie"/>
    <tableColumn id="3" xr3:uid="{00000000-0010-0000-0400-000003000000}" name="Okt" totalsRowDxfId="13"/>
    <tableColumn id="4" xr3:uid="{00000000-0010-0000-0400-000004000000}" name="Nov" totalsRowDxfId="12"/>
    <tableColumn id="5" xr3:uid="{00000000-0010-0000-0400-000005000000}" name="Dez" totalsRowFunction="sum" totalsRowDxfId="11"/>
  </tableColumns>
  <tableStyleInfo name="FormatvorlageBenutzerdefinierteTabelle" showFirstColumn="0" showLastColumn="0" showRowStripes="1" showColumnStripes="0"/>
  <extLst>
    <ext xmlns:x14="http://schemas.microsoft.com/office/spreadsheetml/2009/9/main" uri="{504A1905-F514-4f6f-8877-14C23A59335A}">
      <x14:table altTextSummary="Schnellanalysetabelle zum Filtern von Daten. Diese Beispieldaten beinhalten Abteilung, Kategorie und Beträge für Okt., Nov. und Dez. mit Beispieldat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Abteilung" totalsRowLabel="Gesamt"/>
    <tableColumn id="2" xr3:uid="{00000000-0010-0000-0500-000002000000}" name="Kategorie"/>
    <tableColumn id="3" xr3:uid="{00000000-0010-0000-0500-000003000000}" name="Okt"/>
    <tableColumn id="4" xr3:uid="{00000000-0010-0000-0500-000004000000}" name="Nov"/>
    <tableColumn id="5" xr3:uid="{00000000-0010-0000-0500-000005000000}" name="Dez" totalsRowFunction="sum" totalsRowDxfId="10"/>
  </tableColumns>
  <tableStyleInfo name="FormatvorlageBenutzerdefinierteTabelle" showFirstColumn="0" showLastColumn="0" showRowStripes="1" showColumnStripes="0"/>
  <extLst>
    <ext xmlns:x14="http://schemas.microsoft.com/office/spreadsheetml/2009/9/main" uri="{504A1905-F514-4f6f-8877-14C23A59335A}">
      <x14:table altTextSummary="Erstellen Sie schnell eine Diagrammbeispieltabelle mit fünf Spalten: Abteilung, Kategorie, Okt., Nov. und Dez."/>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en" displayName="SparklineDaten" ref="C54:G62">
  <autoFilter ref="C54:G62" xr:uid="{00000000-0009-0000-0100-000013000000}"/>
  <tableColumns count="5">
    <tableColumn id="1" xr3:uid="{00000000-0010-0000-0600-000001000000}" name="Abteilung" totalsRowLabel="Gesamt"/>
    <tableColumn id="2" xr3:uid="{00000000-0010-0000-0600-000002000000}" name="Kategorie"/>
    <tableColumn id="3" xr3:uid="{00000000-0010-0000-0600-000003000000}" name="Okt"/>
    <tableColumn id="4" xr3:uid="{00000000-0010-0000-0600-000004000000}" name="Nov"/>
    <tableColumn id="5" xr3:uid="{00000000-0010-0000-0600-000005000000}" name="Dez" totalsRowFunction="sum"/>
  </tableColumns>
  <tableStyleInfo name="FormatvorlageBenutzerdefinierteTabelle" showFirstColumn="0" showLastColumn="0" showRowStripes="1" showColumnStripes="0"/>
  <extLst>
    <ext xmlns:x14="http://schemas.microsoft.com/office/spreadsheetml/2009/9/main" uri="{504A1905-F514-4f6f-8877-14C23A59335A}">
      <x14:table altTextSummary="Erstellen Sie schnell eine Sparklines-Beispieltabelle mit fünf Spalten: Abteilung, Kategorie, Okt., Nov. und Dez."/>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EmpfohlenesDiagrammDaten" displayName="EmpfohlenesDiagrammDaten" ref="C5:D11" totalsRowShown="0">
  <autoFilter ref="C5:D11" xr:uid="{00000000-0009-0000-0100-000018000000}"/>
  <tableColumns count="2">
    <tableColumn id="1" xr3:uid="{00000000-0010-0000-0700-000001000000}" name="Jahr"/>
    <tableColumn id="2" xr3:uid="{00000000-0010-0000-0700-000002000000}" name="Konferenzteilnahme"/>
  </tableColumns>
  <tableStyleInfo name="FormatvorlageBenutzerdefinierteTabelle" showFirstColumn="0" showLastColumn="0" showRowStripes="1" showColumnStripes="0"/>
  <extLst>
    <ext xmlns:x14="http://schemas.microsoft.com/office/spreadsheetml/2009/9/main" uri="{504A1905-F514-4f6f-8877-14C23A59335A}">
      <x14:table altTextSummary="Beispieltabelle zur Veranschaulichung der Diagrammerstellu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EmpfohlenesDiagrammDaten2" displayName="EmpfohlenesDiagrammDaten2" ref="D67:F73" totalsRowShown="0">
  <autoFilter ref="D67:F73" xr:uid="{00000000-0009-0000-0100-00001A000000}"/>
  <tableColumns count="3">
    <tableColumn id="1" xr3:uid="{00000000-0010-0000-0800-000001000000}" name="Datum" dataCellStyle="Jahr"/>
    <tableColumn id="2" xr3:uid="{00000000-0010-0000-0800-000002000000}" name="Konferenzteilnahme"/>
    <tableColumn id="3" xr3:uid="{00000000-0010-0000-0800-000003000000}" name="Essenumsatz" dataDxfId="9"/>
  </tableColumns>
  <tableStyleInfo name="FormatvorlageBenutzerdefinierteTabelle" showFirstColumn="0" showLastColumn="0" showRowStripes="1" showColumnStripes="0"/>
  <extLst>
    <ext xmlns:x14="http://schemas.microsoft.com/office/spreadsheetml/2009/9/main" uri="{504A1905-F514-4f6f-8877-14C23A59335A}">
      <x14:table altTextSummary="Beispieltabelle zur Veranschaulichung der Diagrammerstellu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en" displayName="PivotTableDaten" ref="C3:F9">
  <autoFilter ref="C3:F9" xr:uid="{00000000-0009-0000-0100-00001E000000}"/>
  <tableColumns count="4">
    <tableColumn id="1" xr3:uid="{00000000-0010-0000-0900-000001000000}" name="Datum" totalsRowLabel="Gesamt" totalsRowDxfId="5" dataCellStyle="Datum"/>
    <tableColumn id="2" xr3:uid="{00000000-0010-0000-0900-000002000000}" name="Verkäufer"/>
    <tableColumn id="3" xr3:uid="{00000000-0010-0000-0900-000003000000}" name="Produkt"/>
    <tableColumn id="4" xr3:uid="{00000000-0010-0000-0900-000004000000}" name="Betrag" totalsRowFunction="sum" dataDxfId="4" totalsRowDxfId="3"/>
  </tableColumns>
  <tableStyleInfo name="FormatvorlageBenutzerdefinierteTabelle" showFirstColumn="0" showLastColumn="0" showRowStripes="1" showColumnStripes="0"/>
  <extLst>
    <ext xmlns:x14="http://schemas.microsoft.com/office/spreadsheetml/2009/9/main" uri="{504A1905-F514-4f6f-8877-14C23A59335A}">
      <x14:table altTextSummary="Beispieltabelle für das Zusammenfassen von Daten mit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en2" displayName="PivotTableDaten2" ref="C34:F40">
  <autoFilter ref="C34:F40" xr:uid="{00000000-0009-0000-0100-000005000000}"/>
  <tableColumns count="4">
    <tableColumn id="1" xr3:uid="{00000000-0010-0000-0A00-000001000000}" name="Datum" totalsRowLabel="Gesamt" totalsRowDxfId="2" dataCellStyle="Datum"/>
    <tableColumn id="2" xr3:uid="{00000000-0010-0000-0A00-000002000000}" name="Verkäufer"/>
    <tableColumn id="3" xr3:uid="{00000000-0010-0000-0A00-000003000000}" name="Produkt"/>
    <tableColumn id="4" xr3:uid="{00000000-0010-0000-0A00-000004000000}" name="Betrag" totalsRowFunction="sum" dataDxfId="1" totalsRowDxfId="0"/>
  </tableColumns>
  <tableStyleInfo name="FormatvorlageBenutzerdefinierteTabelle" showFirstColumn="0" showLastColumn="0" showRowStripes="1" showColumnStripes="0"/>
  <extLst>
    <ext xmlns:x14="http://schemas.microsoft.com/office/spreadsheetml/2009/9/main" uri="{504A1905-F514-4f6f-8877-14C23A59335A}">
      <x14:table altTextSummary="Erstellen einer PivotTable-Beispieltabelle mit vier Spalten: Datum, Verkäufer, Produkt und Betrag"/>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de-DE/article/use-excel-as-your-calculator-a1abc057-ed11-443a-a635-68216555ad0a?ui=de-DE&amp;rs=en-001&amp;ad=us" TargetMode="External"/><Relationship Id="rId2" Type="http://schemas.openxmlformats.org/officeDocument/2006/relationships/hyperlink" Target="https://support.office.com/de-DE/article/sumif-function-169b8c99-c05c-4483-a712-1697a653039b?ui=de-DE&amp;rs=en-001&amp;ad=us" TargetMode="External"/><Relationship Id="rId1" Type="http://schemas.openxmlformats.org/officeDocument/2006/relationships/hyperlink" Target="https://support.office.com/de-DE/article/sum-function-043e1c7d-7726-4e80-8f32-07b23e057f89?ui=de-DE&amp;rs=en-001&amp;ad=u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upport.office.com/de-DE/article/excel-for-windows-training-9bc05390-e94c-46af-a5b3-d7c22f6990bb?ui=de-DE&amp;rs=en-001&amp;ad=u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office.com/de-DE/article/fill-a-formula-down-into-adjacent-cells-041edfe2-05bc-40e6-b933-ef48c3f308c6?ui=de-DE&amp;rs=en-001&amp;ad=us" TargetMode="External"/><Relationship Id="rId1" Type="http://schemas.openxmlformats.org/officeDocument/2006/relationships/hyperlink" Target="https://support.office.com/de-DE/article/fill-data-automatically-in-worksheet-cells-74e31bdd-d993-45da-aa82-35a236c5b5db?ui=de-DE&amp;rs=en-001&amp;ad=u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support.office.com/de-DE/article/left-leftb-functions-9203d2d2-7960-479b-84c6-1ea52b99640c?ui=de-DE&amp;rs=en-001&amp;ad=us" TargetMode="External"/><Relationship Id="rId7" Type="http://schemas.openxmlformats.org/officeDocument/2006/relationships/printerSettings" Target="../printerSettings/printerSettings4.bin"/><Relationship Id="rId2" Type="http://schemas.openxmlformats.org/officeDocument/2006/relationships/hyperlink" Target="https://support.office.com/de-DE/article/get-transform-in-excel-881c63c6-37c5-4ca2-b616-59e18d75b4de?ui=de-DE&amp;rs=en-001&amp;ad=us" TargetMode="External"/><Relationship Id="rId1" Type="http://schemas.openxmlformats.org/officeDocument/2006/relationships/hyperlink" Target="https://support.office.com/de-DE/article/split-text-into-different-columns-with-the-convert-text-to-columns-wizard-30b14928-5550-41f5-97ca-7a3e9c363ed7?ui=de-DE&amp;rs=en-001&amp;ad=us" TargetMode="External"/><Relationship Id="rId6" Type="http://schemas.openxmlformats.org/officeDocument/2006/relationships/hyperlink" Target="https://support.office.com/de-DE/article/len-lenb-functions-29236f94-cedc-429d-affd-b5e33d2c67cb?ui=de-DE&amp;rs=en-001&amp;ad=us" TargetMode="External"/><Relationship Id="rId5" Type="http://schemas.openxmlformats.org/officeDocument/2006/relationships/hyperlink" Target="https://support.office.com/de-DE/article/find-findb-functions-c7912941-af2a-4bdf-a553-d0d89b0a0628?ui=de-DE&amp;rs=en-001&amp;ad=us" TargetMode="External"/><Relationship Id="rId4" Type="http://schemas.openxmlformats.org/officeDocument/2006/relationships/hyperlink" Target="https://support.office.com/de-DE/article/right-rightb-functions-240267ee-9afa-4639-a02b-f19e1786cf2f?ui=de-DE&amp;rs=en-001&amp;ad=u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de-DE/article/transpose-rotate-data-from-rows-to-columns-or-vice-versa-3419f2e3-beab-4318-aae5-d0f862209744?ui=de-DE&amp;rs=en-001&amp;ad=us" TargetMode="External"/><Relationship Id="rId2" Type="http://schemas.openxmlformats.org/officeDocument/2006/relationships/hyperlink" Target="https://support.office.com/de-DE/article/transpose-function-ed039415-ed8a-4a81-93e9-4b6dfac76027?ui=de-DE&amp;rs=en-001&amp;ad=us" TargetMode="External"/><Relationship Id="rId1" Type="http://schemas.openxmlformats.org/officeDocument/2006/relationships/hyperlink" Target="https://support.office.com/de-DE/article/create-an-array-formula-e43e12e0-afc6-4a12-bc7f-48361075954d?ui=de-DE&amp;rs=en-001&amp;ad=u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pport.office.com/de-DE/article/sort-data-in-a-range-or-table-62d0b95d-2a90-4610-a6ae-2e545c4a4654?ui=de-DE&amp;rs=en-001&amp;ad=us" TargetMode="External"/><Relationship Id="rId1" Type="http://schemas.openxmlformats.org/officeDocument/2006/relationships/hyperlink" Target="https://support.office.com/de-DE/article/filter-data-in-a-range-or-table-01832226-31b5-4568-8806-38c37dcc180e?ui=de-DE&amp;rs=en-001&amp;ad=us"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de-DE/article/overview-of-excel-tables-7ab0bb7d-3a9e-4b56-a3c9-6c94334e492c?ui=de-DE&amp;rs=en-001&amp;ad=us" TargetMode="External"/><Relationship Id="rId7" Type="http://schemas.openxmlformats.org/officeDocument/2006/relationships/table" Target="../tables/table4.xml"/><Relationship Id="rId2" Type="http://schemas.openxmlformats.org/officeDocument/2006/relationships/hyperlink" Target="https://support.office.com/de-DE/article/total-the-data-in-an-excel-table-6944378f-a222-4449-93d8-474386b11f20?ui=de-DE&amp;rs=en-001&amp;ad=us" TargetMode="External"/><Relationship Id="rId1" Type="http://schemas.openxmlformats.org/officeDocument/2006/relationships/hyperlink" Target="https://support.office.com/de-DE/article/use-calculated-columns-in-an-excel-table-873fbac6-7110-4300-8f6f-aafa2ea11ce8?ui=de-DE&amp;rs=en-001&amp;ad=us"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upport.office.com/de-DE/article/apply-data-validation-to-cells-29fecbcc-d1b9-42c1-9d76-eff3ce5f7249?ui=de-DE&amp;rs=en-001&amp;ad=us" TargetMode="External"/><Relationship Id="rId1" Type="http://schemas.openxmlformats.org/officeDocument/2006/relationships/hyperlink" Target="https://support.office.com/de-DE/article/create-a-drop-down-list-7693307a-59ef-400a-b769-c5402dce407b?ui=de-DE&amp;rs=en-001&amp;ad=u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support.office.com/de-DE/article/analyze-trends-in-data-using-sparklines-be6579cf-a8e3-471a-a459-873614413ce1?ui=de-DE&amp;rs=en-001&amp;ad=us"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de-DE/article/create-a-chart-from-start-to-finish-0baf399e-dd61-4e18-8a73-b3fd5d5680c2?ui=de-DE&amp;rs=en-001&amp;ad=us" TargetMode="External"/><Relationship Id="rId7" Type="http://schemas.openxmlformats.org/officeDocument/2006/relationships/table" Target="../tables/table9.xml"/><Relationship Id="rId2" Type="http://schemas.openxmlformats.org/officeDocument/2006/relationships/hyperlink" Target="https://support.office.com/de-DE/article/add-or-remove-a-secondary-axis-in-a-chart-in-excel-91da1e2f-5db1-41e9-8908-e1a2e14dd5a9?redirectsourcepath=%252farticle%252f1d119e2d-1a5f-45a4-8ad3-bacc7430c0a1&amp;ui=de-DE&amp;rs=en-001&amp;ad=us" TargetMode="External"/><Relationship Id="rId1" Type="http://schemas.openxmlformats.org/officeDocument/2006/relationships/hyperlink" Target="https://support.office.com/de-DE/article/available-chart-types-in-office-a6187218-807e-4103-9e0a-27cdb19afb90?ui=de-DE&amp;rs=en-001&amp;ad=us"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de-DE/article/create-a-pivottable-to-analyze-worksheet-data-a9a84538-bfe9-40a9-a8e9-f99134456576?ui=de-DE&amp;rs=en-001&amp;ad=us" TargetMode="External"/><Relationship Id="rId7" Type="http://schemas.openxmlformats.org/officeDocument/2006/relationships/table" Target="../tables/table11.xml"/><Relationship Id="rId2" Type="http://schemas.openxmlformats.org/officeDocument/2006/relationships/hyperlink" Target="https://support.office.com/de-DE/article/use-the-field-list-to-arrange-fields-in-a-pivottable-43980e05-a585-4fcd-bd91-80160adfebec?ui=de-DE&amp;rs=en-001&amp;ad=us"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support.office.com/de-DE/article/what-s-new-in-excel-for-office-365-5fdb9208-ff33-45b6-9e08-1f5cdb3a6c73?ui=de-DE&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learning.linkedin.com/de-de/office?trk=par_acq_MSFThelp-excel-tc_de-template-learnmoretab-t001-link_learning&amp;src=mi-inprod&amp;veh=excel-help&amp;utm_source=microsoft&amp;utm_medium=help-integration&amp;utm_campaign=par_acq_MSFThelp-excel-tc_de-template-learnmoretab-t001-link_learning" TargetMode="External"/><Relationship Id="rId5" Type="http://schemas.openxmlformats.org/officeDocument/2006/relationships/drawing" Target="../drawings/drawing12.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baseColWidth="10" defaultColWidth="11.109375" defaultRowHeight="20.25" customHeight="1" x14ac:dyDescent="0.3"/>
  <cols>
    <col min="1" max="1" width="150.6640625" customWidth="1"/>
    <col min="2" max="2" width="3.5546875" customWidth="1"/>
  </cols>
  <sheetData>
    <row r="1" spans="1:1" ht="15" customHeight="1" x14ac:dyDescent="0.3">
      <c r="A1" s="17" t="s">
        <v>0</v>
      </c>
    </row>
    <row r="2" spans="1:1" ht="100.8" x14ac:dyDescent="2">
      <c r="A2" s="27" t="s">
        <v>1</v>
      </c>
    </row>
    <row r="3" spans="1:1" ht="44.4" x14ac:dyDescent="0.45">
      <c r="A3" s="28" t="s">
        <v>310</v>
      </c>
    </row>
    <row r="4" spans="1:1" ht="264" customHeight="1" x14ac:dyDescent="0.3">
      <c r="A4" s="48" t="s">
        <v>2</v>
      </c>
    </row>
    <row r="5" spans="1:1" ht="20.25" customHeight="1" x14ac:dyDescent="0.45">
      <c r="A5" s="28"/>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4"/>
  <sheetViews>
    <sheetView showGridLines="0" tabSelected="1" zoomScaleNormal="100" zoomScalePageLayoutView="125" workbookViewId="0"/>
  </sheetViews>
  <sheetFormatPr baseColWidth="10" defaultColWidth="8.88671875" defaultRowHeight="15" customHeight="1" x14ac:dyDescent="0.3"/>
  <cols>
    <col min="1" max="1" width="12.6640625" style="16" customWidth="1"/>
    <col min="2" max="2" width="82.88671875" style="18" customWidth="1"/>
    <col min="3" max="5" width="8.88671875" style="18"/>
    <col min="6" max="6" width="13.33203125" style="18" customWidth="1"/>
    <col min="7" max="16384" width="8.88671875" style="18"/>
  </cols>
  <sheetData>
    <row r="1" spans="1:7" ht="60" customHeight="1" x14ac:dyDescent="0.65">
      <c r="A1" s="16" t="s">
        <v>3</v>
      </c>
      <c r="B1" s="24"/>
    </row>
    <row r="2" spans="1:7" ht="15" customHeight="1" x14ac:dyDescent="0.3">
      <c r="A2" s="16" t="s">
        <v>4</v>
      </c>
    </row>
    <row r="3" spans="1:7" ht="15" customHeight="1" x14ac:dyDescent="0.3">
      <c r="A3" s="16" t="s">
        <v>5</v>
      </c>
      <c r="B3" s="25"/>
      <c r="C3" s="30" t="s">
        <v>31</v>
      </c>
      <c r="D3" s="30" t="s">
        <v>43</v>
      </c>
      <c r="F3" s="30" t="s">
        <v>44</v>
      </c>
      <c r="G3" s="30" t="s">
        <v>43</v>
      </c>
    </row>
    <row r="4" spans="1:7" ht="15" customHeight="1" x14ac:dyDescent="0.3">
      <c r="A4" s="16" t="s">
        <v>6</v>
      </c>
      <c r="C4" s="6" t="s">
        <v>32</v>
      </c>
      <c r="D4" s="6">
        <v>50</v>
      </c>
      <c r="F4" s="6" t="s">
        <v>45</v>
      </c>
      <c r="G4" s="6">
        <v>50</v>
      </c>
    </row>
    <row r="5" spans="1:7" s="19" customFormat="1" ht="15" customHeight="1" x14ac:dyDescent="0.3">
      <c r="A5" s="16" t="s">
        <v>350</v>
      </c>
      <c r="C5" s="6" t="s">
        <v>33</v>
      </c>
      <c r="D5" s="6">
        <v>20</v>
      </c>
      <c r="F5" s="6" t="s">
        <v>46</v>
      </c>
      <c r="G5" s="6">
        <v>30</v>
      </c>
    </row>
    <row r="6" spans="1:7" s="19" customFormat="1" ht="15" customHeight="1" x14ac:dyDescent="0.3">
      <c r="A6" s="16" t="s">
        <v>7</v>
      </c>
      <c r="B6" s="26"/>
      <c r="C6" s="6" t="s">
        <v>34</v>
      </c>
      <c r="D6" s="6">
        <v>60</v>
      </c>
      <c r="F6" s="6" t="s">
        <v>47</v>
      </c>
      <c r="G6" s="6">
        <v>10</v>
      </c>
    </row>
    <row r="7" spans="1:7" s="19" customFormat="1" ht="15" customHeight="1" x14ac:dyDescent="0.3">
      <c r="A7" s="16" t="s">
        <v>8</v>
      </c>
      <c r="C7" s="6" t="s">
        <v>35</v>
      </c>
      <c r="D7" s="6">
        <v>40</v>
      </c>
      <c r="F7" s="6" t="s">
        <v>48</v>
      </c>
      <c r="G7" s="6">
        <v>50</v>
      </c>
    </row>
    <row r="8" spans="1:7" s="19" customFormat="1" ht="15" customHeight="1" x14ac:dyDescent="0.3">
      <c r="A8" s="16" t="s">
        <v>9</v>
      </c>
      <c r="D8" s="20"/>
      <c r="G8" s="20"/>
    </row>
    <row r="9" spans="1:7" s="19" customFormat="1" ht="15" customHeight="1" x14ac:dyDescent="0.3">
      <c r="A9" s="16" t="s">
        <v>10</v>
      </c>
    </row>
    <row r="10" spans="1:7" s="19" customFormat="1" ht="15" customHeight="1" x14ac:dyDescent="0.3">
      <c r="A10" s="16" t="s">
        <v>11</v>
      </c>
      <c r="C10" s="30" t="s">
        <v>36</v>
      </c>
      <c r="D10" s="30" t="s">
        <v>43</v>
      </c>
      <c r="F10" s="30" t="s">
        <v>36</v>
      </c>
      <c r="G10" s="30" t="s">
        <v>43</v>
      </c>
    </row>
    <row r="11" spans="1:7" s="19" customFormat="1" ht="15" customHeight="1" x14ac:dyDescent="0.3">
      <c r="A11" s="16" t="s">
        <v>351</v>
      </c>
      <c r="C11" s="6" t="s">
        <v>37</v>
      </c>
      <c r="D11" s="6">
        <v>50</v>
      </c>
      <c r="F11" s="6" t="s">
        <v>37</v>
      </c>
      <c r="G11" s="6">
        <v>50</v>
      </c>
    </row>
    <row r="12" spans="1:7" s="19" customFormat="1" ht="15" customHeight="1" x14ac:dyDescent="0.3">
      <c r="A12" s="16" t="s">
        <v>352</v>
      </c>
      <c r="C12" s="6" t="s">
        <v>38</v>
      </c>
      <c r="D12" s="6">
        <v>100</v>
      </c>
      <c r="F12" s="6" t="s">
        <v>38</v>
      </c>
      <c r="G12" s="6">
        <v>100</v>
      </c>
    </row>
    <row r="13" spans="1:7" s="19" customFormat="1" ht="15" customHeight="1" x14ac:dyDescent="0.3">
      <c r="A13" s="16" t="s">
        <v>12</v>
      </c>
      <c r="C13" s="6" t="s">
        <v>39</v>
      </c>
      <c r="D13" s="6">
        <v>40</v>
      </c>
      <c r="F13" s="6" t="s">
        <v>39</v>
      </c>
      <c r="G13" s="6">
        <v>40</v>
      </c>
    </row>
    <row r="14" spans="1:7" s="19" customFormat="1" ht="15" customHeight="1" x14ac:dyDescent="0.3">
      <c r="A14" s="16"/>
      <c r="C14" s="6" t="s">
        <v>40</v>
      </c>
      <c r="D14" s="6">
        <v>50</v>
      </c>
      <c r="F14" s="6" t="s">
        <v>40</v>
      </c>
      <c r="G14" s="6">
        <v>50</v>
      </c>
    </row>
    <row r="15" spans="1:7" s="19" customFormat="1" ht="15" customHeight="1" thickBot="1" x14ac:dyDescent="0.35">
      <c r="A15" s="16"/>
      <c r="C15" s="6" t="s">
        <v>41</v>
      </c>
      <c r="D15" s="6">
        <v>20</v>
      </c>
      <c r="F15" s="6" t="s">
        <v>41</v>
      </c>
      <c r="G15" s="6">
        <v>20</v>
      </c>
    </row>
    <row r="16" spans="1:7" s="19" customFormat="1" ht="15" customHeight="1" thickTop="1" thickBot="1" x14ac:dyDescent="0.35">
      <c r="A16" s="16"/>
      <c r="D16" s="20"/>
      <c r="G16" s="29"/>
    </row>
    <row r="17" spans="1:1" s="19" customFormat="1" ht="15" customHeight="1" thickTop="1" x14ac:dyDescent="0.3">
      <c r="A17" s="16"/>
    </row>
    <row r="18" spans="1:1" s="19" customFormat="1" ht="15" customHeight="1" x14ac:dyDescent="0.3">
      <c r="A18" s="16"/>
    </row>
    <row r="19" spans="1:1" s="19" customFormat="1" ht="15" customHeight="1" x14ac:dyDescent="0.3">
      <c r="A19" s="16"/>
    </row>
    <row r="20" spans="1:1" s="19" customFormat="1" ht="15" customHeight="1" x14ac:dyDescent="0.3">
      <c r="A20" s="16"/>
    </row>
    <row r="21" spans="1:1" s="19" customFormat="1" ht="15" customHeight="1" x14ac:dyDescent="0.3">
      <c r="A21" s="16"/>
    </row>
    <row r="22" spans="1:1" s="19" customFormat="1" ht="15" customHeight="1" x14ac:dyDescent="0.3">
      <c r="A22" s="16"/>
    </row>
    <row r="23" spans="1:1" s="19" customFormat="1" ht="15" customHeight="1" x14ac:dyDescent="0.3">
      <c r="A23" s="16"/>
    </row>
    <row r="24" spans="1:1" s="19" customFormat="1" ht="15" customHeight="1" x14ac:dyDescent="0.3">
      <c r="A24" s="16"/>
    </row>
    <row r="27" spans="1:1" ht="15" customHeight="1" x14ac:dyDescent="0.3">
      <c r="A27" s="16" t="s">
        <v>353</v>
      </c>
    </row>
    <row r="28" spans="1:1" ht="15" customHeight="1" x14ac:dyDescent="0.3">
      <c r="A28" s="16" t="s">
        <v>354</v>
      </c>
    </row>
    <row r="29" spans="1:1" ht="15" customHeight="1" x14ac:dyDescent="0.3">
      <c r="A29" s="16" t="s">
        <v>13</v>
      </c>
    </row>
    <row r="30" spans="1:1" ht="15" customHeight="1" x14ac:dyDescent="0.3">
      <c r="A30" s="16" t="s">
        <v>355</v>
      </c>
    </row>
    <row r="31" spans="1:1" ht="15" customHeight="1" x14ac:dyDescent="0.3">
      <c r="A31" s="16" t="s">
        <v>356</v>
      </c>
    </row>
    <row r="32" spans="1:1" ht="15" customHeight="1" x14ac:dyDescent="0.3">
      <c r="A32" s="16" t="s">
        <v>14</v>
      </c>
    </row>
    <row r="33" spans="1:7" ht="15" customHeight="1" x14ac:dyDescent="0.3">
      <c r="A33" s="16" t="s">
        <v>15</v>
      </c>
    </row>
    <row r="34" spans="1:7" ht="15" customHeight="1" x14ac:dyDescent="0.3">
      <c r="A34" s="16" t="s">
        <v>16</v>
      </c>
    </row>
    <row r="35" spans="1:7" ht="15" customHeight="1" x14ac:dyDescent="0.3">
      <c r="A35" s="16" t="s">
        <v>17</v>
      </c>
    </row>
    <row r="36" spans="1:7" ht="15" customHeight="1" x14ac:dyDescent="0.3">
      <c r="A36" s="16" t="s">
        <v>357</v>
      </c>
    </row>
    <row r="37" spans="1:7" ht="15" customHeight="1" x14ac:dyDescent="0.3">
      <c r="A37" s="16" t="s">
        <v>18</v>
      </c>
      <c r="C37" s="30" t="s">
        <v>31</v>
      </c>
      <c r="D37" s="30" t="s">
        <v>43</v>
      </c>
    </row>
    <row r="38" spans="1:7" ht="15" customHeight="1" x14ac:dyDescent="0.3">
      <c r="A38" s="16" t="s">
        <v>19</v>
      </c>
      <c r="C38" s="6" t="s">
        <v>32</v>
      </c>
      <c r="D38" s="6">
        <v>50</v>
      </c>
      <c r="E38" s="19"/>
    </row>
    <row r="39" spans="1:7" ht="15" customHeight="1" x14ac:dyDescent="0.3">
      <c r="A39" s="16" t="s">
        <v>20</v>
      </c>
      <c r="C39" s="6" t="s">
        <v>33</v>
      </c>
      <c r="D39" s="6">
        <v>20</v>
      </c>
      <c r="E39" s="19"/>
    </row>
    <row r="40" spans="1:7" ht="15" customHeight="1" x14ac:dyDescent="0.3">
      <c r="A40" s="16" t="s">
        <v>21</v>
      </c>
      <c r="C40" s="6" t="s">
        <v>34</v>
      </c>
      <c r="D40" s="6">
        <v>60</v>
      </c>
      <c r="E40" s="19"/>
    </row>
    <row r="41" spans="1:7" ht="15" customHeight="1" x14ac:dyDescent="0.3">
      <c r="A41" s="16" t="s">
        <v>22</v>
      </c>
      <c r="C41" s="6" t="s">
        <v>35</v>
      </c>
      <c r="D41" s="6">
        <v>40</v>
      </c>
      <c r="E41" s="19"/>
    </row>
    <row r="42" spans="1:7" ht="15" customHeight="1" x14ac:dyDescent="0.3">
      <c r="A42" s="16" t="s">
        <v>23</v>
      </c>
      <c r="C42" s="19"/>
      <c r="D42" s="20">
        <f>SUM(D38:D41)</f>
        <v>170</v>
      </c>
      <c r="E42" s="19"/>
      <c r="F42" s="19"/>
      <c r="G42" s="19"/>
    </row>
    <row r="43" spans="1:7" ht="15" customHeight="1" x14ac:dyDescent="0.3">
      <c r="A43" s="16" t="s">
        <v>24</v>
      </c>
    </row>
    <row r="47" spans="1:7" ht="15" customHeight="1" x14ac:dyDescent="0.3">
      <c r="C47" s="30" t="s">
        <v>36</v>
      </c>
      <c r="D47" s="30" t="s">
        <v>43</v>
      </c>
      <c r="E47" s="19"/>
      <c r="F47" s="30" t="s">
        <v>36</v>
      </c>
      <c r="G47" s="30" t="s">
        <v>43</v>
      </c>
    </row>
    <row r="48" spans="1:7" ht="15" customHeight="1" x14ac:dyDescent="0.3">
      <c r="C48" s="6" t="s">
        <v>42</v>
      </c>
      <c r="D48" s="6">
        <v>20</v>
      </c>
      <c r="E48" s="19"/>
      <c r="F48" s="6" t="s">
        <v>49</v>
      </c>
      <c r="G48" s="6">
        <v>20</v>
      </c>
    </row>
    <row r="49" spans="3:7" ht="15" customHeight="1" x14ac:dyDescent="0.3">
      <c r="C49" s="6"/>
      <c r="D49" s="6"/>
      <c r="E49" s="19"/>
      <c r="F49" s="51" t="s">
        <v>50</v>
      </c>
      <c r="G49" s="6">
        <v>10</v>
      </c>
    </row>
    <row r="50" spans="3:7" ht="15" customHeight="1" x14ac:dyDescent="0.3">
      <c r="C50" s="6"/>
      <c r="D50" s="6"/>
      <c r="E50" s="19"/>
      <c r="F50" s="6" t="s">
        <v>51</v>
      </c>
      <c r="G50" s="6">
        <v>10</v>
      </c>
    </row>
    <row r="51" spans="3:7" ht="15" customHeight="1" x14ac:dyDescent="0.3">
      <c r="C51" s="6"/>
      <c r="D51" s="6"/>
      <c r="E51" s="19"/>
      <c r="F51" s="6" t="s">
        <v>52</v>
      </c>
      <c r="G51" s="6">
        <v>40</v>
      </c>
    </row>
    <row r="53" spans="3:7" ht="15" customHeight="1" x14ac:dyDescent="0.3">
      <c r="E53" s="30" t="s">
        <v>335</v>
      </c>
    </row>
    <row r="54" spans="3:7" ht="15" customHeight="1" x14ac:dyDescent="0.3">
      <c r="E54" s="20">
        <f>SUM(D48,G48:G51,100)</f>
        <v>200</v>
      </c>
    </row>
    <row r="66" spans="1:7" ht="15" customHeight="1" x14ac:dyDescent="0.3">
      <c r="A66" s="16" t="s">
        <v>358</v>
      </c>
    </row>
    <row r="67" spans="1:7" ht="15" customHeight="1" x14ac:dyDescent="0.3">
      <c r="A67" s="16" t="s">
        <v>359</v>
      </c>
    </row>
    <row r="68" spans="1:7" ht="15" customHeight="1" x14ac:dyDescent="0.3">
      <c r="A68" s="16" t="s">
        <v>25</v>
      </c>
    </row>
    <row r="69" spans="1:7" ht="15" customHeight="1" x14ac:dyDescent="0.3">
      <c r="A69" s="16" t="s">
        <v>360</v>
      </c>
    </row>
    <row r="70" spans="1:7" ht="15" customHeight="1" x14ac:dyDescent="0.3">
      <c r="A70" s="16" t="s">
        <v>361</v>
      </c>
    </row>
    <row r="71" spans="1:7" ht="15" customHeight="1" x14ac:dyDescent="0.3">
      <c r="A71" s="16" t="s">
        <v>362</v>
      </c>
    </row>
    <row r="72" spans="1:7" ht="15" customHeight="1" x14ac:dyDescent="0.3">
      <c r="A72" s="16" t="s">
        <v>26</v>
      </c>
      <c r="C72" s="30" t="s">
        <v>36</v>
      </c>
      <c r="D72" s="30" t="s">
        <v>43</v>
      </c>
      <c r="F72" s="30" t="s">
        <v>36</v>
      </c>
      <c r="G72" s="30" t="s">
        <v>43</v>
      </c>
    </row>
    <row r="73" spans="1:7" ht="15" customHeight="1" x14ac:dyDescent="0.3">
      <c r="A73" s="47" t="s">
        <v>363</v>
      </c>
      <c r="C73" s="6" t="s">
        <v>37</v>
      </c>
      <c r="D73" s="6">
        <v>50</v>
      </c>
      <c r="F73" s="6" t="s">
        <v>37</v>
      </c>
      <c r="G73" s="6">
        <v>50</v>
      </c>
    </row>
    <row r="74" spans="1:7" ht="15" customHeight="1" x14ac:dyDescent="0.3">
      <c r="A74" s="16" t="s">
        <v>313</v>
      </c>
      <c r="C74" s="6" t="s">
        <v>38</v>
      </c>
      <c r="D74" s="6">
        <v>100</v>
      </c>
      <c r="F74" s="6" t="s">
        <v>38</v>
      </c>
      <c r="G74" s="6">
        <v>100</v>
      </c>
    </row>
    <row r="75" spans="1:7" ht="15" customHeight="1" x14ac:dyDescent="0.3">
      <c r="C75" s="6" t="s">
        <v>39</v>
      </c>
      <c r="D75" s="6">
        <v>40</v>
      </c>
      <c r="F75" s="6" t="s">
        <v>39</v>
      </c>
      <c r="G75" s="6">
        <v>40</v>
      </c>
    </row>
    <row r="76" spans="1:7" ht="15" customHeight="1" x14ac:dyDescent="0.3">
      <c r="C76" s="6" t="s">
        <v>40</v>
      </c>
      <c r="D76" s="6">
        <v>50</v>
      </c>
      <c r="F76" s="6" t="s">
        <v>40</v>
      </c>
      <c r="G76" s="6">
        <v>50</v>
      </c>
    </row>
    <row r="77" spans="1:7" ht="15" customHeight="1" thickBot="1" x14ac:dyDescent="0.35">
      <c r="C77" s="6" t="s">
        <v>41</v>
      </c>
      <c r="D77" s="6">
        <v>20</v>
      </c>
      <c r="F77" s="6" t="s">
        <v>41</v>
      </c>
      <c r="G77" s="6">
        <v>20</v>
      </c>
    </row>
    <row r="78" spans="1:7" ht="15" customHeight="1" thickTop="1" thickBot="1" x14ac:dyDescent="0.35">
      <c r="D78" s="20">
        <f>SUMIF(D73:D77,"&gt;50")</f>
        <v>100</v>
      </c>
      <c r="F78" s="23"/>
      <c r="G78" s="22">
        <f>SUMIF(G73:G77,"&gt;=50")</f>
        <v>200</v>
      </c>
    </row>
    <row r="79" spans="1:7" ht="15" customHeight="1" thickTop="1" x14ac:dyDescent="0.3"/>
    <row r="89" spans="1:1" ht="15" customHeight="1" x14ac:dyDescent="0.3">
      <c r="A89" s="16" t="s">
        <v>27</v>
      </c>
    </row>
    <row r="90" spans="1:1" ht="15" customHeight="1" x14ac:dyDescent="0.3">
      <c r="A90" s="16" t="s">
        <v>364</v>
      </c>
    </row>
    <row r="91" spans="1:1" ht="15" customHeight="1" x14ac:dyDescent="0.3">
      <c r="A91" s="16" t="s">
        <v>365</v>
      </c>
    </row>
    <row r="92" spans="1:1" ht="15" customHeight="1" x14ac:dyDescent="0.3">
      <c r="A92" s="16" t="s">
        <v>28</v>
      </c>
    </row>
    <row r="93" spans="1:1" ht="15" customHeight="1" x14ac:dyDescent="0.3">
      <c r="A93" s="16" t="s">
        <v>29</v>
      </c>
    </row>
    <row r="94" spans="1:1" ht="15" customHeight="1" x14ac:dyDescent="0.3">
      <c r="A94" s="16" t="s">
        <v>30</v>
      </c>
    </row>
  </sheetData>
  <hyperlinks>
    <hyperlink ref="A90" r:id="rId1" tooltip="Auswählen, um alles über die SUMME-Funktion aus dem Web zu erfahren" display="Alles über die SUMME-Funktion" xr:uid="{00000000-0004-0000-0100-000000000000}"/>
    <hyperlink ref="A91" r:id="rId2" tooltip="Auswählen, um alles über die SUMMEWENN-Funktion aus dem Web zu erfahren" display="Alles über die SUMMEWENN-Funktion" xr:uid="{00000000-0004-0000-0100-000001000000}"/>
    <hyperlink ref="A92" r:id="rId3" tooltip="Auswählen, um Informationen aus dem Web zum Verwenden von Excel als Taschenrechner anzuzeigen" xr:uid="{00000000-0004-0000-0100-000002000000}"/>
    <hyperlink ref="A93" r:id="rId4" tooltip="Auswählen, um eine Übersicht über die kostenlose Excel-Onlineschulung im Web anzuzeigen" xr:uid="{00000000-0004-0000-0100-000003000000}"/>
    <hyperlink ref="A71" location="'10. PivotTables'!A1" tooltip="Auswählen, um zum PivotTable-Arbeitsblatt zu wechseln" display="ANMERKUNG: Wenn Sie feststellen, dass Sie viele SUMMEWENN-Formeln erstellen, kann sich eine PivotTable als bessere Lösung erweisen. Weitere Informationen finden Sie auf dem PivotTable-Arbeitsblatt." xr:uid="{00000000-0004-0000-0100-000004000000}"/>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72"/>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8.88671875" style="18" customWidth="1"/>
    <col min="4" max="4" width="11.109375" style="18" customWidth="1"/>
    <col min="5" max="6" width="11" style="18" customWidth="1"/>
    <col min="7" max="16384" width="8.88671875" style="18"/>
  </cols>
  <sheetData>
    <row r="1" spans="1:9" ht="60" customHeight="1" x14ac:dyDescent="0.3">
      <c r="A1" s="16" t="s">
        <v>53</v>
      </c>
    </row>
    <row r="2" spans="1:9" ht="15" customHeight="1" x14ac:dyDescent="0.3">
      <c r="A2" s="16" t="s">
        <v>54</v>
      </c>
    </row>
    <row r="3" spans="1:9" ht="15" customHeight="1" x14ac:dyDescent="0.3">
      <c r="A3" s="16" t="s">
        <v>366</v>
      </c>
      <c r="C3" s="30" t="s">
        <v>65</v>
      </c>
      <c r="D3" s="30" t="s">
        <v>70</v>
      </c>
      <c r="E3" s="30" t="s">
        <v>73</v>
      </c>
      <c r="F3" s="30" t="s">
        <v>70</v>
      </c>
      <c r="G3" s="30" t="s">
        <v>73</v>
      </c>
    </row>
    <row r="4" spans="1:9" ht="15" customHeight="1" x14ac:dyDescent="0.3">
      <c r="A4" s="16" t="s">
        <v>55</v>
      </c>
      <c r="C4" s="21">
        <v>50</v>
      </c>
      <c r="D4" s="21">
        <v>50</v>
      </c>
      <c r="E4" s="20">
        <f>SUM(C4:D4)</f>
        <v>100</v>
      </c>
      <c r="F4" s="21">
        <v>75</v>
      </c>
      <c r="G4" s="21">
        <f>SUM(E4:F4)</f>
        <v>175</v>
      </c>
    </row>
    <row r="5" spans="1:9" s="19" customFormat="1" ht="15" customHeight="1" x14ac:dyDescent="0.3">
      <c r="A5" s="16" t="s">
        <v>367</v>
      </c>
      <c r="B5"/>
      <c r="C5" s="21">
        <v>50</v>
      </c>
      <c r="D5" s="21">
        <v>60</v>
      </c>
      <c r="E5" s="6"/>
      <c r="F5" s="21">
        <v>75</v>
      </c>
      <c r="G5" s="21"/>
      <c r="H5" s="18"/>
      <c r="I5" s="18"/>
    </row>
    <row r="6" spans="1:9" s="19" customFormat="1" ht="15" customHeight="1" x14ac:dyDescent="0.3">
      <c r="A6" s="16" t="s">
        <v>56</v>
      </c>
      <c r="B6"/>
      <c r="C6" s="21">
        <v>50</v>
      </c>
      <c r="D6" s="21">
        <v>70</v>
      </c>
      <c r="E6" s="6"/>
      <c r="F6" s="21">
        <v>75</v>
      </c>
      <c r="G6" s="21"/>
      <c r="H6" s="18"/>
      <c r="I6" s="18"/>
    </row>
    <row r="7" spans="1:9" s="19" customFormat="1" ht="15" customHeight="1" x14ac:dyDescent="0.3">
      <c r="A7" s="16" t="s">
        <v>57</v>
      </c>
      <c r="B7"/>
      <c r="C7" s="21">
        <v>50</v>
      </c>
      <c r="D7" s="21">
        <v>80</v>
      </c>
      <c r="E7" s="6"/>
      <c r="F7" s="21">
        <v>75</v>
      </c>
      <c r="G7" s="21"/>
      <c r="H7" s="18"/>
      <c r="I7" s="18"/>
    </row>
    <row r="8" spans="1:9" s="19" customFormat="1" ht="15" customHeight="1" x14ac:dyDescent="0.3">
      <c r="A8" s="16" t="s">
        <v>58</v>
      </c>
      <c r="B8"/>
      <c r="C8" s="18"/>
      <c r="D8" s="18"/>
      <c r="E8" s="18"/>
      <c r="F8" s="18"/>
      <c r="G8" s="18"/>
      <c r="H8" s="18"/>
      <c r="I8" s="18"/>
    </row>
    <row r="9" spans="1:9" s="19" customFormat="1" ht="15" customHeight="1" x14ac:dyDescent="0.3">
      <c r="A9" s="16" t="s">
        <v>59</v>
      </c>
      <c r="B9"/>
      <c r="C9" s="18"/>
      <c r="D9" s="18"/>
      <c r="E9" s="18"/>
      <c r="F9" s="18"/>
      <c r="G9" s="18"/>
      <c r="H9" s="18"/>
      <c r="I9" s="18"/>
    </row>
    <row r="10" spans="1:9" s="19" customFormat="1" ht="15" customHeight="1" x14ac:dyDescent="0.3">
      <c r="A10" s="16"/>
      <c r="B10"/>
      <c r="C10" s="30" t="s">
        <v>65</v>
      </c>
      <c r="D10" s="30" t="s">
        <v>70</v>
      </c>
      <c r="E10" s="30" t="s">
        <v>73</v>
      </c>
      <c r="F10" s="30" t="s">
        <v>70</v>
      </c>
      <c r="G10" s="30" t="s">
        <v>73</v>
      </c>
      <c r="H10" s="18"/>
      <c r="I10" s="18"/>
    </row>
    <row r="11" spans="1:9" s="19" customFormat="1" ht="15" customHeight="1" x14ac:dyDescent="0.3">
      <c r="A11" s="16"/>
      <c r="B11"/>
      <c r="C11" s="21">
        <v>50</v>
      </c>
      <c r="D11" s="21">
        <v>50</v>
      </c>
      <c r="E11" s="21">
        <f>SUM(C11:D11)</f>
        <v>100</v>
      </c>
      <c r="F11" s="21">
        <v>75</v>
      </c>
      <c r="G11" s="21">
        <f>SUM(E11:F11)</f>
        <v>175</v>
      </c>
      <c r="H11" s="18"/>
      <c r="I11" s="18"/>
    </row>
    <row r="12" spans="1:9" s="19" customFormat="1" ht="15" customHeight="1" x14ac:dyDescent="0.3">
      <c r="A12" s="16"/>
      <c r="B12"/>
      <c r="C12" s="21">
        <v>50</v>
      </c>
      <c r="D12" s="21">
        <v>60</v>
      </c>
      <c r="E12" s="21">
        <f t="shared" ref="E12:E14" si="0">SUM(C12:D12)</f>
        <v>110</v>
      </c>
      <c r="F12" s="21">
        <v>75</v>
      </c>
      <c r="G12" s="21">
        <f t="shared" ref="G12:G14" si="1">SUM(E12:F12)</f>
        <v>185</v>
      </c>
      <c r="H12" s="18"/>
      <c r="I12" s="18"/>
    </row>
    <row r="13" spans="1:9" s="19" customFormat="1" ht="15" customHeight="1" x14ac:dyDescent="0.3">
      <c r="A13" s="16"/>
      <c r="B13"/>
      <c r="C13" s="21">
        <v>50</v>
      </c>
      <c r="D13" s="21">
        <v>70</v>
      </c>
      <c r="E13" s="21">
        <f t="shared" si="0"/>
        <v>120</v>
      </c>
      <c r="F13" s="21">
        <v>75</v>
      </c>
      <c r="G13" s="21">
        <f t="shared" si="1"/>
        <v>195</v>
      </c>
      <c r="H13" s="18"/>
      <c r="I13" s="18"/>
    </row>
    <row r="14" spans="1:9" s="19" customFormat="1" ht="15" customHeight="1" x14ac:dyDescent="0.3">
      <c r="A14" s="16"/>
      <c r="B14"/>
      <c r="C14" s="41">
        <v>50</v>
      </c>
      <c r="D14" s="41">
        <v>80</v>
      </c>
      <c r="E14" s="41">
        <f t="shared" si="0"/>
        <v>130</v>
      </c>
      <c r="F14" s="41">
        <v>75</v>
      </c>
      <c r="G14" s="41">
        <f t="shared" si="1"/>
        <v>205</v>
      </c>
      <c r="H14" s="18"/>
      <c r="I14" s="18"/>
    </row>
    <row r="15" spans="1:9" s="19" customFormat="1" ht="15" customHeight="1" x14ac:dyDescent="0.3">
      <c r="A15" s="16"/>
      <c r="B15"/>
      <c r="C15" s="20">
        <f>SUM(C11:C14)</f>
        <v>200</v>
      </c>
      <c r="D15" s="6"/>
      <c r="E15" s="6"/>
      <c r="F15" s="6"/>
      <c r="G15" s="6"/>
      <c r="H15" s="18"/>
      <c r="I15" s="18"/>
    </row>
    <row r="16" spans="1:9" s="19" customFormat="1" ht="15" customHeight="1" x14ac:dyDescent="0.3">
      <c r="A16" s="16"/>
      <c r="B16"/>
      <c r="H16" s="18"/>
      <c r="I16" s="18"/>
    </row>
    <row r="17" spans="1:9" s="19" customFormat="1" ht="15" customHeight="1" x14ac:dyDescent="0.3">
      <c r="A17" s="16"/>
      <c r="B17"/>
      <c r="H17" s="18"/>
      <c r="I17" s="18"/>
    </row>
    <row r="18" spans="1:9" s="19" customFormat="1" ht="15" customHeight="1" x14ac:dyDescent="0.3">
      <c r="A18" s="16"/>
      <c r="B18"/>
      <c r="C18" s="18"/>
      <c r="D18" s="18"/>
      <c r="E18" s="18"/>
      <c r="F18" s="18"/>
      <c r="G18" s="18"/>
      <c r="H18" s="18"/>
      <c r="I18" s="18"/>
    </row>
    <row r="19" spans="1:9" s="19" customFormat="1" ht="15" customHeight="1" x14ac:dyDescent="0.3">
      <c r="A19" s="16"/>
      <c r="B19"/>
      <c r="C19" s="18"/>
      <c r="D19" s="18"/>
      <c r="E19" s="18"/>
      <c r="F19" s="18"/>
      <c r="G19" s="18"/>
      <c r="H19" s="18"/>
      <c r="I19" s="18"/>
    </row>
    <row r="20" spans="1:9" s="19" customFormat="1" ht="15" customHeight="1" x14ac:dyDescent="0.3">
      <c r="A20" s="16"/>
      <c r="B20"/>
      <c r="C20" s="18"/>
      <c r="D20" s="18"/>
      <c r="E20" s="18"/>
      <c r="F20" s="18"/>
      <c r="G20" s="18"/>
      <c r="H20" s="18"/>
      <c r="I20" s="18"/>
    </row>
    <row r="21" spans="1:9" s="19" customFormat="1" ht="15" customHeight="1" x14ac:dyDescent="0.3">
      <c r="A21" s="16"/>
      <c r="B21"/>
      <c r="C21" s="18"/>
      <c r="D21" s="18"/>
      <c r="E21" s="18"/>
      <c r="F21" s="18"/>
      <c r="G21" s="18"/>
      <c r="H21" s="18"/>
      <c r="I21" s="18"/>
    </row>
    <row r="22" spans="1:9" s="19" customFormat="1" ht="15" customHeight="1" x14ac:dyDescent="0.3">
      <c r="A22" s="16"/>
      <c r="B22"/>
    </row>
    <row r="23" spans="1:9" s="19" customFormat="1" ht="15" customHeight="1" x14ac:dyDescent="0.3">
      <c r="A23" s="16"/>
      <c r="B23"/>
    </row>
    <row r="24" spans="1:9" s="19" customFormat="1" ht="15" customHeight="1" x14ac:dyDescent="0.3">
      <c r="A24" s="16"/>
      <c r="B24"/>
    </row>
    <row r="27" spans="1:9" ht="15" customHeight="1" x14ac:dyDescent="0.3">
      <c r="A27" s="16" t="s">
        <v>60</v>
      </c>
    </row>
    <row r="28" spans="1:9" ht="15" customHeight="1" x14ac:dyDescent="0.3">
      <c r="A28" s="16" t="s">
        <v>61</v>
      </c>
    </row>
    <row r="29" spans="1:9" ht="15" customHeight="1" x14ac:dyDescent="0.3">
      <c r="A29" s="16" t="s">
        <v>62</v>
      </c>
    </row>
    <row r="30" spans="1:9" ht="15" customHeight="1" x14ac:dyDescent="0.3">
      <c r="A30" s="16" t="s">
        <v>63</v>
      </c>
    </row>
    <row r="31" spans="1:9" ht="15" customHeight="1" x14ac:dyDescent="0.3">
      <c r="A31" s="16" t="s">
        <v>314</v>
      </c>
    </row>
    <row r="33" spans="3:8" ht="15" customHeight="1" x14ac:dyDescent="0.3">
      <c r="C33" s="30" t="s">
        <v>66</v>
      </c>
      <c r="D33" s="30" t="s">
        <v>71</v>
      </c>
      <c r="E33" s="30" t="s">
        <v>74</v>
      </c>
      <c r="F33" s="30" t="s">
        <v>79</v>
      </c>
    </row>
    <row r="34" spans="3:8" ht="15" customHeight="1" x14ac:dyDescent="0.3">
      <c r="C34" s="42" t="s">
        <v>67</v>
      </c>
      <c r="D34" s="42" t="s">
        <v>31</v>
      </c>
      <c r="E34" s="21" t="s">
        <v>75</v>
      </c>
      <c r="F34" s="21">
        <v>100</v>
      </c>
    </row>
    <row r="35" spans="3:8" ht="15" customHeight="1" x14ac:dyDescent="0.3">
      <c r="C35" s="21"/>
      <c r="D35" s="21"/>
      <c r="E35" s="21" t="s">
        <v>76</v>
      </c>
      <c r="F35" s="21">
        <v>200</v>
      </c>
    </row>
    <row r="36" spans="3:8" ht="15" customHeight="1" x14ac:dyDescent="0.3">
      <c r="C36" s="21"/>
      <c r="D36" s="21"/>
      <c r="E36" s="21" t="s">
        <v>77</v>
      </c>
      <c r="F36" s="21">
        <v>50</v>
      </c>
    </row>
    <row r="37" spans="3:8" ht="15" customHeight="1" x14ac:dyDescent="0.3">
      <c r="C37" s="21"/>
      <c r="D37" s="21"/>
      <c r="E37" s="21" t="s">
        <v>78</v>
      </c>
      <c r="F37" s="21">
        <v>100</v>
      </c>
    </row>
    <row r="46" spans="3:8" ht="15" customHeight="1" thickBot="1" x14ac:dyDescent="0.35">
      <c r="C46" s="30"/>
      <c r="D46" s="30" t="s">
        <v>72</v>
      </c>
      <c r="E46" s="30"/>
      <c r="F46" s="30"/>
    </row>
    <row r="47" spans="3:8" ht="15" customHeight="1" thickTop="1" thickBot="1" x14ac:dyDescent="0.35">
      <c r="C47" s="42" t="s">
        <v>68</v>
      </c>
      <c r="D47" s="21">
        <v>35</v>
      </c>
      <c r="E47" s="21">
        <v>44</v>
      </c>
      <c r="F47" s="21">
        <v>79</v>
      </c>
      <c r="H47" s="29" t="s">
        <v>80</v>
      </c>
    </row>
    <row r="48" spans="3:8" ht="15" customHeight="1" thickTop="1" x14ac:dyDescent="0.3">
      <c r="C48" s="21"/>
      <c r="D48" s="21">
        <v>74</v>
      </c>
      <c r="E48" s="21">
        <v>64</v>
      </c>
      <c r="F48" s="21">
        <v>56</v>
      </c>
      <c r="H48" s="21"/>
    </row>
    <row r="49" spans="3:8" ht="15" customHeight="1" x14ac:dyDescent="0.3">
      <c r="C49" s="21"/>
      <c r="D49" s="21">
        <v>82</v>
      </c>
      <c r="E49" s="21">
        <v>50</v>
      </c>
      <c r="F49" s="21">
        <v>83</v>
      </c>
      <c r="H49" s="21"/>
    </row>
    <row r="50" spans="3:8" ht="15" customHeight="1" x14ac:dyDescent="0.3">
      <c r="C50" s="21"/>
      <c r="D50" s="21">
        <v>90</v>
      </c>
      <c r="E50" s="21">
        <v>22</v>
      </c>
      <c r="F50" s="21">
        <v>89</v>
      </c>
      <c r="H50" s="21"/>
    </row>
    <row r="60" spans="3:8" ht="15" customHeight="1" x14ac:dyDescent="0.3">
      <c r="C60" s="30" t="s">
        <v>69</v>
      </c>
      <c r="D60" s="30"/>
      <c r="E60" s="30"/>
      <c r="F60" s="30"/>
      <c r="G60" s="30"/>
      <c r="H60" s="30"/>
    </row>
    <row r="61" spans="3:8" ht="15" customHeight="1" x14ac:dyDescent="0.3">
      <c r="C61" s="42">
        <v>15</v>
      </c>
      <c r="D61" s="42">
        <v>30</v>
      </c>
      <c r="E61" s="21"/>
      <c r="F61" s="21"/>
      <c r="G61" s="21"/>
      <c r="H61" s="21"/>
    </row>
    <row r="69" spans="1:1" ht="15" customHeight="1" x14ac:dyDescent="0.3">
      <c r="A69" s="16" t="s">
        <v>27</v>
      </c>
    </row>
    <row r="70" spans="1:1" ht="15" customHeight="1" x14ac:dyDescent="0.3">
      <c r="A70" s="16" t="s">
        <v>64</v>
      </c>
    </row>
    <row r="71" spans="1:1" ht="15" customHeight="1" x14ac:dyDescent="0.3">
      <c r="A71" s="16" t="s">
        <v>315</v>
      </c>
    </row>
    <row r="72" spans="1:1" ht="15" customHeight="1" x14ac:dyDescent="0.3">
      <c r="A72" s="16" t="s">
        <v>30</v>
      </c>
    </row>
  </sheetData>
  <hyperlinks>
    <hyperlink ref="A70" r:id="rId1" tooltip="Auswählen, um Informationen im Web zum automatischen Auffüllen von Arbeitsblattzellen mit Daten anzuzeigen" xr:uid="{00000000-0004-0000-0200-000000000000}"/>
    <hyperlink ref="A71" r:id="rId2" tooltip="Auswählen, um Informationen im Web zum Ausfüllen einer Formel abwärts in benachbarte Zellen anzuzeigen" display="Ausfüllen einer Formel nach unten in angrenzende Zellen"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96"/>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33.88671875" customWidth="1"/>
    <col min="4" max="4" width="11.33203125" customWidth="1"/>
    <col min="5" max="5" width="13" customWidth="1"/>
    <col min="6" max="6" width="15.5546875" customWidth="1"/>
    <col min="7" max="7" width="18.5546875" customWidth="1"/>
    <col min="8" max="8" width="12" customWidth="1"/>
  </cols>
  <sheetData>
    <row r="1" spans="1:8" ht="60" customHeight="1" x14ac:dyDescent="0.3">
      <c r="A1" s="16" t="s">
        <v>81</v>
      </c>
    </row>
    <row r="2" spans="1:8" ht="15" customHeight="1" x14ac:dyDescent="0.3">
      <c r="A2" s="16" t="s">
        <v>82</v>
      </c>
    </row>
    <row r="3" spans="1:8" ht="15" customHeight="1" x14ac:dyDescent="0.3">
      <c r="A3" s="16" t="s">
        <v>83</v>
      </c>
    </row>
    <row r="4" spans="1:8" ht="15" customHeight="1" x14ac:dyDescent="0.3">
      <c r="A4" s="16" t="s">
        <v>84</v>
      </c>
      <c r="C4" s="30" t="s">
        <v>110</v>
      </c>
      <c r="D4" s="30" t="s">
        <v>127</v>
      </c>
      <c r="E4" s="30" t="s">
        <v>128</v>
      </c>
    </row>
    <row r="5" spans="1:8" s="3" customFormat="1" ht="15" customHeight="1" x14ac:dyDescent="0.3">
      <c r="A5" s="16" t="s">
        <v>85</v>
      </c>
      <c r="B5"/>
      <c r="C5" s="34" t="s">
        <v>111</v>
      </c>
      <c r="D5" s="10"/>
      <c r="E5" s="35" t="s">
        <v>129</v>
      </c>
      <c r="F5"/>
      <c r="G5"/>
      <c r="H5"/>
    </row>
    <row r="6" spans="1:8" s="3" customFormat="1" ht="15" customHeight="1" x14ac:dyDescent="0.3">
      <c r="A6" s="16" t="s">
        <v>86</v>
      </c>
      <c r="B6"/>
      <c r="C6" s="34" t="s">
        <v>112</v>
      </c>
      <c r="D6"/>
      <c r="E6" s="35"/>
      <c r="F6"/>
      <c r="G6"/>
      <c r="H6"/>
    </row>
    <row r="7" spans="1:8" s="3" customFormat="1" ht="15" customHeight="1" x14ac:dyDescent="0.3">
      <c r="A7" s="16" t="s">
        <v>59</v>
      </c>
      <c r="B7"/>
      <c r="C7" s="34" t="s">
        <v>113</v>
      </c>
      <c r="D7"/>
      <c r="E7" s="35"/>
      <c r="F7"/>
      <c r="G7"/>
      <c r="H7"/>
    </row>
    <row r="8" spans="1:8" s="3" customFormat="1" ht="15" customHeight="1" x14ac:dyDescent="0.3">
      <c r="A8" s="16"/>
      <c r="B8"/>
      <c r="C8" s="34" t="s">
        <v>114</v>
      </c>
      <c r="D8"/>
      <c r="E8" s="35"/>
      <c r="F8"/>
      <c r="G8"/>
      <c r="H8"/>
    </row>
    <row r="9" spans="1:8" s="3" customFormat="1" ht="15" customHeight="1" x14ac:dyDescent="0.3">
      <c r="A9" s="16"/>
      <c r="B9"/>
      <c r="C9" s="36" t="s">
        <v>115</v>
      </c>
      <c r="D9" s="44"/>
      <c r="E9" s="45"/>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8" spans="1:8" ht="15" customHeight="1" x14ac:dyDescent="0.3">
      <c r="A28" s="16" t="s">
        <v>87</v>
      </c>
    </row>
    <row r="29" spans="1:8" ht="15" customHeight="1" x14ac:dyDescent="0.3">
      <c r="A29" s="16" t="s">
        <v>88</v>
      </c>
    </row>
    <row r="30" spans="1:8" ht="15" customHeight="1" x14ac:dyDescent="0.3">
      <c r="A30" s="16" t="s">
        <v>89</v>
      </c>
    </row>
    <row r="31" spans="1:8" ht="15" customHeight="1" x14ac:dyDescent="0.3">
      <c r="A31" s="16" t="s">
        <v>336</v>
      </c>
      <c r="C31" s="30" t="s">
        <v>116</v>
      </c>
      <c r="D31" s="30" t="s">
        <v>127</v>
      </c>
      <c r="E31" s="30" t="s">
        <v>128</v>
      </c>
      <c r="F31" s="30" t="s">
        <v>130</v>
      </c>
    </row>
    <row r="32" spans="1:8" ht="15" customHeight="1" x14ac:dyDescent="0.3">
      <c r="A32" s="16" t="s">
        <v>90</v>
      </c>
      <c r="C32" s="8" t="s">
        <v>117</v>
      </c>
    </row>
    <row r="33" spans="1:6" ht="15" customHeight="1" x14ac:dyDescent="0.3">
      <c r="A33" s="16" t="s">
        <v>91</v>
      </c>
      <c r="C33" s="8" t="s">
        <v>118</v>
      </c>
    </row>
    <row r="34" spans="1:6" ht="15" customHeight="1" x14ac:dyDescent="0.3">
      <c r="A34" s="16" t="s">
        <v>92</v>
      </c>
      <c r="C34" s="8" t="s">
        <v>119</v>
      </c>
    </row>
    <row r="35" spans="1:6" ht="15" customHeight="1" x14ac:dyDescent="0.3">
      <c r="A35" s="16" t="s">
        <v>337</v>
      </c>
      <c r="C35" s="8" t="s">
        <v>120</v>
      </c>
    </row>
    <row r="36" spans="1:6" ht="15" customHeight="1" x14ac:dyDescent="0.3">
      <c r="A36" s="16" t="s">
        <v>147</v>
      </c>
      <c r="C36" s="8" t="s">
        <v>121</v>
      </c>
    </row>
    <row r="37" spans="1:6" ht="15" customHeight="1" x14ac:dyDescent="0.3">
      <c r="C37" s="8" t="s">
        <v>122</v>
      </c>
    </row>
    <row r="38" spans="1:6" ht="15" customHeight="1" x14ac:dyDescent="0.3">
      <c r="C38" s="8" t="s">
        <v>123</v>
      </c>
    </row>
    <row r="39" spans="1:6" ht="15" customHeight="1" x14ac:dyDescent="0.3">
      <c r="C39" s="32" t="s">
        <v>124</v>
      </c>
      <c r="D39" s="33"/>
      <c r="E39" s="33"/>
      <c r="F39" s="33"/>
    </row>
    <row r="40" spans="1:6" ht="15" customHeight="1" x14ac:dyDescent="0.3">
      <c r="C40" s="11"/>
      <c r="D40" s="11"/>
      <c r="E40" s="11"/>
      <c r="F40" s="11"/>
    </row>
    <row r="54" spans="1:8" ht="15" customHeight="1" x14ac:dyDescent="0.3">
      <c r="A54" s="16" t="s">
        <v>94</v>
      </c>
    </row>
    <row r="55" spans="1:8" ht="15" customHeight="1" x14ac:dyDescent="0.3">
      <c r="A55" s="16" t="s">
        <v>95</v>
      </c>
      <c r="C55" s="30" t="s">
        <v>125</v>
      </c>
      <c r="E55" s="30" t="s">
        <v>127</v>
      </c>
      <c r="F55" s="46" t="s">
        <v>131</v>
      </c>
      <c r="G55" s="30" t="s">
        <v>132</v>
      </c>
      <c r="H55" s="30" t="s">
        <v>128</v>
      </c>
    </row>
    <row r="56" spans="1:8" ht="15" customHeight="1" x14ac:dyDescent="0.3">
      <c r="A56" s="16" t="s">
        <v>338</v>
      </c>
      <c r="C56" s="6" t="s">
        <v>126</v>
      </c>
      <c r="E56" s="7" t="str">
        <f>LEFT(C56,FIND(" ",C56)-1)</f>
        <v>Yvonne</v>
      </c>
      <c r="F56" s="7" t="str">
        <f>RIGHT(C56,LEN(C56)-FIND(" ",C56))</f>
        <v>Giselle Faber</v>
      </c>
      <c r="G56" s="7" t="str">
        <f>LEFT(F56,FIND(" ",F56)-1)</f>
        <v>Giselle</v>
      </c>
      <c r="H56" s="7" t="str">
        <f>RIGHT(F56,LEN(F56)-FIND(" ",F56))</f>
        <v>Faber</v>
      </c>
    </row>
    <row r="57" spans="1:8" ht="15" customHeight="1" x14ac:dyDescent="0.3">
      <c r="A57" s="16" t="s">
        <v>96</v>
      </c>
    </row>
    <row r="58" spans="1:8" ht="15" customHeight="1" x14ac:dyDescent="0.3">
      <c r="A58" s="16" t="s">
        <v>97</v>
      </c>
    </row>
    <row r="59" spans="1:8" ht="15" customHeight="1" x14ac:dyDescent="0.3">
      <c r="A59" s="16" t="s">
        <v>98</v>
      </c>
    </row>
    <row r="60" spans="1:8" ht="15" customHeight="1" x14ac:dyDescent="0.3">
      <c r="A60" s="16" t="s">
        <v>99</v>
      </c>
    </row>
    <row r="61" spans="1:8" ht="15" customHeight="1" x14ac:dyDescent="0.3">
      <c r="A61" s="16" t="s">
        <v>100</v>
      </c>
    </row>
    <row r="62" spans="1:8" ht="15" customHeight="1" x14ac:dyDescent="0.3">
      <c r="A62" s="16" t="s">
        <v>316</v>
      </c>
    </row>
    <row r="63" spans="1:8" ht="15" customHeight="1" x14ac:dyDescent="0.3">
      <c r="A63" s="16" t="s">
        <v>101</v>
      </c>
    </row>
    <row r="64" spans="1:8" ht="15" customHeight="1" x14ac:dyDescent="0.3">
      <c r="A64" s="16" t="s">
        <v>102</v>
      </c>
    </row>
    <row r="65" spans="1:1" ht="15" customHeight="1" x14ac:dyDescent="0.3">
      <c r="A65" s="16" t="s">
        <v>103</v>
      </c>
    </row>
    <row r="66" spans="1:1" ht="15" customHeight="1" x14ac:dyDescent="0.3">
      <c r="A66" s="47" t="s">
        <v>317</v>
      </c>
    </row>
    <row r="67" spans="1:1" ht="15" customHeight="1" x14ac:dyDescent="0.3">
      <c r="A67" s="16" t="s">
        <v>318</v>
      </c>
    </row>
    <row r="68" spans="1:1" ht="15" customHeight="1" x14ac:dyDescent="0.3">
      <c r="A68" s="16" t="s">
        <v>313</v>
      </c>
    </row>
    <row r="89" spans="1:1" ht="15" customHeight="1" x14ac:dyDescent="0.3">
      <c r="A89" s="16" t="s">
        <v>27</v>
      </c>
    </row>
    <row r="90" spans="1:1" ht="15" customHeight="1" x14ac:dyDescent="0.3">
      <c r="A90" s="16" t="s">
        <v>104</v>
      </c>
    </row>
    <row r="91" spans="1:1" ht="15" customHeight="1" x14ac:dyDescent="0.3">
      <c r="A91" s="16" t="s">
        <v>105</v>
      </c>
    </row>
    <row r="92" spans="1:1" ht="15" customHeight="1" x14ac:dyDescent="0.3">
      <c r="A92" s="16" t="s">
        <v>106</v>
      </c>
    </row>
    <row r="93" spans="1:1" ht="15" customHeight="1" x14ac:dyDescent="0.3">
      <c r="A93" s="16" t="s">
        <v>107</v>
      </c>
    </row>
    <row r="94" spans="1:1" ht="15" customHeight="1" x14ac:dyDescent="0.3">
      <c r="A94" s="16" t="s">
        <v>108</v>
      </c>
    </row>
    <row r="95" spans="1:1" ht="15" customHeight="1" x14ac:dyDescent="0.3">
      <c r="A95" s="16" t="s">
        <v>109</v>
      </c>
    </row>
    <row r="96" spans="1:1" ht="15" customHeight="1" x14ac:dyDescent="0.3">
      <c r="A96" s="16" t="s">
        <v>30</v>
      </c>
    </row>
  </sheetData>
  <hyperlinks>
    <hyperlink ref="A90" r:id="rId1" tooltip="Auswählen, um mehr über das Aufteilen von Text aus dem Web in verschiedene Spalten zu erfahren" xr:uid="{00000000-0004-0000-0300-000000000000}"/>
    <hyperlink ref="A91" r:id="rId2" tooltip="Auswählen, um Informationen zu Abrufen und transformieren aus dem Web abzurufen" xr:uid="{00000000-0004-0000-0300-000001000000}"/>
    <hyperlink ref="A92" r:id="rId3" tooltip="Auswählen, um alles über die LINKS-Funktion aus dem Web zu erfahren" xr:uid="{00000000-0004-0000-0300-000002000000}"/>
    <hyperlink ref="A93" r:id="rId4" tooltip="Auswählen, um alles über die RECHTS-Funktion aus dem Web zu erfahren" xr:uid="{00000000-0004-0000-0300-000003000000}"/>
    <hyperlink ref="A94" r:id="rId5" tooltip="Auswählen, um alles über die SUCHEN-Funktion aus dem Web zu erfahren" xr:uid="{00000000-0004-0000-0300-000004000000}"/>
    <hyperlink ref="A95" r:id="rId6" tooltip="Auswählen, um alles über die LÄNGE-Funktion aus dem Web zu erfahren" xr:uid="{00000000-0004-0000-0300-000005000000}"/>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82"/>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s>
  <sheetData>
    <row r="1" spans="1:8" ht="60" customHeight="1" x14ac:dyDescent="0.3">
      <c r="A1" s="16" t="s">
        <v>133</v>
      </c>
    </row>
    <row r="2" spans="1:8" ht="15" customHeight="1" x14ac:dyDescent="0.3">
      <c r="A2" s="16" t="s">
        <v>134</v>
      </c>
    </row>
    <row r="3" spans="1:8" ht="15" customHeight="1" x14ac:dyDescent="0.3">
      <c r="A3" s="16" t="s">
        <v>135</v>
      </c>
    </row>
    <row r="4" spans="1:8" ht="15" customHeight="1" x14ac:dyDescent="0.3">
      <c r="A4" s="16" t="s">
        <v>136</v>
      </c>
    </row>
    <row r="5" spans="1:8" s="3" customFormat="1" ht="15" customHeight="1" x14ac:dyDescent="0.3">
      <c r="A5" s="16" t="s">
        <v>137</v>
      </c>
      <c r="B5"/>
      <c r="C5" s="30" t="s">
        <v>36</v>
      </c>
      <c r="D5" s="6" t="s">
        <v>37</v>
      </c>
      <c r="E5" s="6" t="s">
        <v>38</v>
      </c>
      <c r="F5" s="6" t="s">
        <v>39</v>
      </c>
      <c r="G5" s="6" t="s">
        <v>40</v>
      </c>
      <c r="H5" s="6" t="s">
        <v>41</v>
      </c>
    </row>
    <row r="6" spans="1:8" s="3" customFormat="1" ht="15" customHeight="1" x14ac:dyDescent="0.3">
      <c r="A6" s="16" t="s">
        <v>138</v>
      </c>
      <c r="B6"/>
      <c r="C6" s="30" t="s">
        <v>43</v>
      </c>
      <c r="D6" s="6">
        <v>50</v>
      </c>
      <c r="E6" s="6">
        <v>100</v>
      </c>
      <c r="F6" s="6">
        <v>40</v>
      </c>
      <c r="G6" s="6">
        <v>50</v>
      </c>
      <c r="H6" s="6">
        <v>20</v>
      </c>
    </row>
    <row r="7" spans="1:8" s="3" customFormat="1" ht="15" customHeight="1" x14ac:dyDescent="0.3">
      <c r="A7" s="16" t="s">
        <v>139</v>
      </c>
      <c r="B7"/>
      <c r="C7"/>
      <c r="D7"/>
      <c r="E7"/>
      <c r="F7"/>
      <c r="G7"/>
      <c r="H7"/>
    </row>
    <row r="8" spans="1:8" s="3" customFormat="1" ht="15" customHeight="1" x14ac:dyDescent="0.3">
      <c r="A8" s="16" t="s">
        <v>140</v>
      </c>
      <c r="B8"/>
      <c r="C8"/>
      <c r="D8"/>
      <c r="E8"/>
      <c r="F8"/>
      <c r="G8"/>
      <c r="H8"/>
    </row>
    <row r="9" spans="1:8" s="3" customFormat="1" ht="15" customHeight="1" x14ac:dyDescent="0.3">
      <c r="A9" s="16" t="s">
        <v>12</v>
      </c>
      <c r="B9" t="s">
        <v>154</v>
      </c>
      <c r="C9" s="7"/>
      <c r="D9"/>
      <c r="E9"/>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141</v>
      </c>
    </row>
    <row r="28" spans="1:8" ht="15" customHeight="1" x14ac:dyDescent="0.3">
      <c r="A28" s="16" t="s">
        <v>142</v>
      </c>
    </row>
    <row r="29" spans="1:8" ht="15" customHeight="1" x14ac:dyDescent="0.3">
      <c r="A29" s="16" t="s">
        <v>143</v>
      </c>
    </row>
    <row r="30" spans="1:8" ht="15" customHeight="1" x14ac:dyDescent="0.3">
      <c r="A30" s="47" t="s">
        <v>144</v>
      </c>
    </row>
    <row r="31" spans="1:8" ht="15" customHeight="1" x14ac:dyDescent="0.3">
      <c r="A31" s="16" t="s">
        <v>145</v>
      </c>
    </row>
    <row r="32" spans="1:8" ht="15" customHeight="1" x14ac:dyDescent="0.3">
      <c r="A32" s="47" t="s">
        <v>146</v>
      </c>
    </row>
    <row r="33" spans="1:8" ht="15" customHeight="1" x14ac:dyDescent="0.3">
      <c r="A33" s="16" t="s">
        <v>319</v>
      </c>
      <c r="C33" s="30" t="s">
        <v>36</v>
      </c>
      <c r="D33" s="6" t="s">
        <v>37</v>
      </c>
      <c r="E33" s="6" t="s">
        <v>38</v>
      </c>
      <c r="F33" s="6" t="s">
        <v>39</v>
      </c>
      <c r="G33" s="6" t="s">
        <v>40</v>
      </c>
      <c r="H33" s="6" t="s">
        <v>41</v>
      </c>
    </row>
    <row r="34" spans="1:8" ht="15" customHeight="1" x14ac:dyDescent="0.3">
      <c r="C34" s="30" t="s">
        <v>43</v>
      </c>
      <c r="D34" s="6">
        <v>50</v>
      </c>
      <c r="E34" s="6">
        <v>100</v>
      </c>
      <c r="F34" s="6">
        <v>40</v>
      </c>
      <c r="G34" s="6">
        <v>50</v>
      </c>
      <c r="H34" s="6">
        <v>20</v>
      </c>
    </row>
    <row r="40" spans="1:8" ht="15" customHeight="1" x14ac:dyDescent="0.3">
      <c r="C40" s="7"/>
      <c r="D40" s="7"/>
    </row>
    <row r="41" spans="1:8" ht="15" customHeight="1" x14ac:dyDescent="0.3">
      <c r="C41" s="7"/>
      <c r="D41" s="7"/>
    </row>
    <row r="42" spans="1:8" ht="15" customHeight="1" x14ac:dyDescent="0.3">
      <c r="C42" s="7"/>
      <c r="D42" s="7"/>
    </row>
    <row r="43" spans="1:8" ht="15" customHeight="1" x14ac:dyDescent="0.3">
      <c r="C43" s="7"/>
      <c r="D43" s="7"/>
    </row>
    <row r="44" spans="1:8" ht="15" customHeight="1" x14ac:dyDescent="0.3">
      <c r="C44" s="7"/>
      <c r="D44" s="7"/>
    </row>
    <row r="45" spans="1:8" ht="15" customHeight="1" x14ac:dyDescent="0.3">
      <c r="C45" s="7"/>
      <c r="D45" s="7"/>
    </row>
    <row r="59" spans="1:1" ht="15" customHeight="1" x14ac:dyDescent="0.3">
      <c r="A59" s="16" t="s">
        <v>148</v>
      </c>
    </row>
    <row r="60" spans="1:1" ht="15" customHeight="1" x14ac:dyDescent="0.3">
      <c r="A60" s="16" t="s">
        <v>149</v>
      </c>
    </row>
    <row r="61" spans="1:1" ht="15" customHeight="1" x14ac:dyDescent="0.3">
      <c r="A61" s="16" t="s">
        <v>150</v>
      </c>
    </row>
    <row r="62" spans="1:1" ht="15" customHeight="1" x14ac:dyDescent="0.3">
      <c r="A62" s="47" t="s">
        <v>151</v>
      </c>
    </row>
    <row r="63" spans="1:1" ht="15" customHeight="1" x14ac:dyDescent="0.3">
      <c r="A63" s="16" t="s">
        <v>152</v>
      </c>
    </row>
    <row r="64" spans="1:1" ht="15" customHeight="1" x14ac:dyDescent="0.3">
      <c r="A64" s="16" t="s">
        <v>320</v>
      </c>
    </row>
    <row r="78" spans="1:1" ht="15" customHeight="1" x14ac:dyDescent="0.3">
      <c r="A78" s="16" t="s">
        <v>27</v>
      </c>
    </row>
    <row r="79" spans="1:1" ht="15" customHeight="1" x14ac:dyDescent="0.3">
      <c r="A79" s="16" t="s">
        <v>321</v>
      </c>
    </row>
    <row r="80" spans="1:1" ht="15" customHeight="1" x14ac:dyDescent="0.3">
      <c r="A80" s="16" t="s">
        <v>153</v>
      </c>
    </row>
    <row r="81" spans="1:1" ht="15" customHeight="1" x14ac:dyDescent="0.3">
      <c r="A81" s="16" t="s">
        <v>322</v>
      </c>
    </row>
    <row r="82" spans="1:1" ht="15" customHeight="1" x14ac:dyDescent="0.3">
      <c r="A82" s="16" t="s">
        <v>30</v>
      </c>
    </row>
  </sheetData>
  <hyperlinks>
    <hyperlink ref="A81" r:id="rId1" tooltip="Auswählen, um Informationen zum Erstellen einer Matrixformel aus dem Web anzuzeigen" display="Erstellen einer Matrixformel" xr:uid="{00000000-0004-0000-0400-000000000000}"/>
    <hyperlink ref="A80" r:id="rId2" tooltip="Auswählen, um alles über die MTRANS-Funktion aus dem Web zu erfahren" xr:uid="{00000000-0004-0000-0400-000001000000}"/>
    <hyperlink ref="A79" r:id="rId3" tooltip="Auswählen, um Informationen aus dem Web über das Transponieren (Vertauschen) von Daten aus Zeilen in Spalten bzw. umgekehrt anzuzeigen" display="Transponieren (Vertauschen) von Daten aus Zeilen in Spalten oder umgekehrt" xr:uid="{00000000-0004-0000-0400-000002000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72"/>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21.5546875" customWidth="1"/>
    <col min="4" max="4" width="14.6640625" customWidth="1"/>
    <col min="5" max="5" width="9.88671875" customWidth="1"/>
    <col min="6" max="6" width="9.33203125" customWidth="1"/>
    <col min="7" max="7" width="10.88671875" customWidth="1"/>
  </cols>
  <sheetData>
    <row r="1" spans="1:7" ht="60" customHeight="1" x14ac:dyDescent="0.3">
      <c r="A1" s="16" t="s">
        <v>155</v>
      </c>
    </row>
    <row r="2" spans="1:7" ht="15" customHeight="1" x14ac:dyDescent="0.3">
      <c r="A2" s="16" t="s">
        <v>339</v>
      </c>
    </row>
    <row r="3" spans="1:7" ht="15" customHeight="1" x14ac:dyDescent="0.3">
      <c r="A3" s="16" t="s">
        <v>341</v>
      </c>
    </row>
    <row r="4" spans="1:7" ht="15" customHeight="1" x14ac:dyDescent="0.3">
      <c r="A4" s="16" t="s">
        <v>342</v>
      </c>
    </row>
    <row r="5" spans="1:7" s="3" customFormat="1" ht="15" customHeight="1" x14ac:dyDescent="0.3">
      <c r="A5" s="16" t="s">
        <v>343</v>
      </c>
      <c r="B5"/>
      <c r="C5" s="30" t="s">
        <v>166</v>
      </c>
      <c r="D5" s="30" t="s">
        <v>71</v>
      </c>
      <c r="E5" s="30" t="s">
        <v>182</v>
      </c>
      <c r="F5" s="30" t="s">
        <v>184</v>
      </c>
      <c r="G5" s="30" t="s">
        <v>186</v>
      </c>
    </row>
    <row r="6" spans="1:7" s="3" customFormat="1" ht="15" customHeight="1" x14ac:dyDescent="0.3">
      <c r="A6" s="16" t="s">
        <v>156</v>
      </c>
      <c r="B6"/>
      <c r="C6" s="6" t="s">
        <v>44</v>
      </c>
      <c r="D6" s="6" t="s">
        <v>45</v>
      </c>
      <c r="E6" s="49">
        <v>90000</v>
      </c>
      <c r="F6" s="49">
        <v>110000</v>
      </c>
      <c r="G6" s="49">
        <v>120000</v>
      </c>
    </row>
    <row r="7" spans="1:7" s="3" customFormat="1" ht="15" customHeight="1" x14ac:dyDescent="0.3">
      <c r="A7" s="16" t="s">
        <v>157</v>
      </c>
      <c r="B7"/>
      <c r="C7" t="s">
        <v>167</v>
      </c>
      <c r="D7" t="s">
        <v>170</v>
      </c>
      <c r="E7" s="37">
        <v>25000</v>
      </c>
      <c r="F7" s="37">
        <v>80000</v>
      </c>
      <c r="G7" s="37">
        <v>120000</v>
      </c>
    </row>
    <row r="8" spans="1:7" s="3" customFormat="1" ht="15" customHeight="1" x14ac:dyDescent="0.3">
      <c r="A8" s="16" t="s">
        <v>323</v>
      </c>
      <c r="B8"/>
      <c r="C8" s="6" t="s">
        <v>67</v>
      </c>
      <c r="D8" s="6" t="s">
        <v>31</v>
      </c>
      <c r="E8" s="49">
        <v>10000</v>
      </c>
      <c r="F8" s="49">
        <v>30000</v>
      </c>
      <c r="G8" s="49">
        <v>40000</v>
      </c>
    </row>
    <row r="9" spans="1:7" s="3" customFormat="1" ht="15" customHeight="1" x14ac:dyDescent="0.3">
      <c r="A9" s="16"/>
      <c r="B9"/>
      <c r="C9" t="s">
        <v>67</v>
      </c>
      <c r="D9" t="s">
        <v>171</v>
      </c>
      <c r="E9" s="37">
        <v>30000</v>
      </c>
      <c r="F9" s="37">
        <v>80000</v>
      </c>
      <c r="G9" s="37">
        <v>30000</v>
      </c>
    </row>
    <row r="10" spans="1:7" s="3" customFormat="1" ht="15" customHeight="1" x14ac:dyDescent="0.3">
      <c r="A10" s="16"/>
      <c r="B10"/>
      <c r="C10" s="6" t="s">
        <v>168</v>
      </c>
      <c r="D10" s="6" t="s">
        <v>172</v>
      </c>
      <c r="E10" s="49">
        <v>90000</v>
      </c>
      <c r="F10" s="49">
        <v>35000</v>
      </c>
      <c r="G10" s="49">
        <v>25000</v>
      </c>
    </row>
    <row r="11" spans="1:7" s="3" customFormat="1" ht="15" customHeight="1" x14ac:dyDescent="0.3">
      <c r="A11" s="16"/>
      <c r="B11"/>
      <c r="C11" t="s">
        <v>44</v>
      </c>
      <c r="D11" t="s">
        <v>46</v>
      </c>
      <c r="E11" s="37">
        <v>75000</v>
      </c>
      <c r="F11" s="37">
        <v>82000</v>
      </c>
      <c r="G11" s="37">
        <v>2000000</v>
      </c>
    </row>
    <row r="12" spans="1:7" s="3" customFormat="1" ht="15" customHeight="1" x14ac:dyDescent="0.3">
      <c r="A12" s="16"/>
      <c r="B12"/>
      <c r="C12" s="6" t="s">
        <v>167</v>
      </c>
      <c r="D12" s="6" t="s">
        <v>173</v>
      </c>
      <c r="E12" s="31">
        <v>30000</v>
      </c>
      <c r="F12" s="31">
        <v>15000</v>
      </c>
      <c r="G12" s="31">
        <v>20000</v>
      </c>
    </row>
    <row r="13" spans="1:7" s="3" customFormat="1" ht="15" customHeight="1" x14ac:dyDescent="0.3">
      <c r="A13" s="16"/>
      <c r="B13"/>
      <c r="C13" t="s">
        <v>168</v>
      </c>
      <c r="D13" t="s">
        <v>174</v>
      </c>
      <c r="E13" s="37">
        <v>80000</v>
      </c>
      <c r="F13" s="37">
        <v>40000</v>
      </c>
      <c r="G13" s="37">
        <v>20000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9" spans="1:7" ht="15" customHeight="1" x14ac:dyDescent="0.3">
      <c r="A29" s="16" t="s">
        <v>158</v>
      </c>
    </row>
    <row r="30" spans="1:7" ht="15" customHeight="1" x14ac:dyDescent="0.3">
      <c r="A30" s="16" t="s">
        <v>159</v>
      </c>
    </row>
    <row r="31" spans="1:7" ht="15" customHeight="1" x14ac:dyDescent="0.3">
      <c r="A31" s="16" t="s">
        <v>348</v>
      </c>
      <c r="C31" t="s">
        <v>169</v>
      </c>
      <c r="D31" t="s">
        <v>175</v>
      </c>
      <c r="E31" t="s">
        <v>183</v>
      </c>
      <c r="F31" t="s">
        <v>185</v>
      </c>
    </row>
    <row r="32" spans="1:7" ht="15" customHeight="1" x14ac:dyDescent="0.3">
      <c r="A32" s="16" t="s">
        <v>160</v>
      </c>
      <c r="C32" s="54">
        <f ca="1">TODAY()-2</f>
        <v>45579</v>
      </c>
      <c r="D32" t="s">
        <v>176</v>
      </c>
      <c r="E32" s="52">
        <v>21</v>
      </c>
      <c r="F32" s="53">
        <v>3820</v>
      </c>
    </row>
    <row r="33" spans="1:6" ht="15" customHeight="1" x14ac:dyDescent="0.3">
      <c r="A33" s="16" t="s">
        <v>161</v>
      </c>
      <c r="C33" s="54">
        <f ca="1">TODAY()-3</f>
        <v>45578</v>
      </c>
      <c r="D33" t="s">
        <v>177</v>
      </c>
      <c r="E33" s="52">
        <v>62</v>
      </c>
      <c r="F33" s="52">
        <v>2112</v>
      </c>
    </row>
    <row r="34" spans="1:6" ht="15" customHeight="1" x14ac:dyDescent="0.3">
      <c r="A34" s="16" t="s">
        <v>162</v>
      </c>
      <c r="C34" s="54">
        <f ca="1">TODAY()-6</f>
        <v>45575</v>
      </c>
      <c r="D34" t="s">
        <v>178</v>
      </c>
      <c r="E34" s="52">
        <v>25</v>
      </c>
      <c r="F34" s="52">
        <v>1611</v>
      </c>
    </row>
    <row r="35" spans="1:6" ht="15" customHeight="1" x14ac:dyDescent="0.3">
      <c r="A35" s="16" t="s">
        <v>93</v>
      </c>
      <c r="C35" s="54">
        <f ca="1">TODAY()</f>
        <v>45581</v>
      </c>
      <c r="D35" t="s">
        <v>179</v>
      </c>
      <c r="E35" s="52">
        <v>30</v>
      </c>
      <c r="F35" s="53">
        <v>3085</v>
      </c>
    </row>
    <row r="36" spans="1:6" ht="15" customHeight="1" x14ac:dyDescent="0.3">
      <c r="C36" s="54">
        <f ca="1">TODAY()-4</f>
        <v>45577</v>
      </c>
      <c r="D36" t="s">
        <v>180</v>
      </c>
      <c r="E36" s="52">
        <v>69</v>
      </c>
      <c r="F36" s="52">
        <v>528</v>
      </c>
    </row>
    <row r="37" spans="1:6" ht="15" customHeight="1" x14ac:dyDescent="0.3">
      <c r="C37" s="54">
        <f ca="1">TODAY()-5</f>
        <v>45576</v>
      </c>
      <c r="D37" t="s">
        <v>181</v>
      </c>
      <c r="E37" s="52">
        <v>45</v>
      </c>
      <c r="F37" s="53">
        <v>5050</v>
      </c>
    </row>
    <row r="49" spans="1:6" ht="15" customHeight="1" x14ac:dyDescent="0.3">
      <c r="A49" s="16" t="s">
        <v>163</v>
      </c>
      <c r="C49" t="s">
        <v>169</v>
      </c>
      <c r="D49" t="s">
        <v>175</v>
      </c>
      <c r="E49" t="s">
        <v>183</v>
      </c>
      <c r="F49" t="s">
        <v>185</v>
      </c>
    </row>
    <row r="50" spans="1:6" ht="15" customHeight="1" x14ac:dyDescent="0.3">
      <c r="A50" s="16" t="s">
        <v>349</v>
      </c>
      <c r="C50" s="54">
        <f ca="1">TODAY()-2</f>
        <v>45579</v>
      </c>
      <c r="D50" t="s">
        <v>176</v>
      </c>
      <c r="E50" s="52">
        <v>21</v>
      </c>
      <c r="F50" s="52">
        <v>3820</v>
      </c>
    </row>
    <row r="51" spans="1:6" ht="15" customHeight="1" x14ac:dyDescent="0.3">
      <c r="A51" s="16" t="s">
        <v>164</v>
      </c>
      <c r="C51" s="54">
        <f ca="1">TODAY()-3</f>
        <v>45578</v>
      </c>
      <c r="D51" t="s">
        <v>177</v>
      </c>
      <c r="E51" s="52">
        <v>62</v>
      </c>
      <c r="F51" s="52">
        <v>2112</v>
      </c>
    </row>
    <row r="52" spans="1:6" ht="15" customHeight="1" x14ac:dyDescent="0.3">
      <c r="A52" s="16" t="s">
        <v>344</v>
      </c>
      <c r="C52" s="54">
        <f ca="1">TODAY()</f>
        <v>45581</v>
      </c>
      <c r="D52" t="s">
        <v>179</v>
      </c>
      <c r="E52" s="52">
        <v>30</v>
      </c>
      <c r="F52" s="52">
        <v>3085</v>
      </c>
    </row>
    <row r="53" spans="1:6" ht="15" customHeight="1" x14ac:dyDescent="0.3">
      <c r="A53" s="16" t="s">
        <v>314</v>
      </c>
      <c r="C53" s="54">
        <f ca="1">TODAY()-6</f>
        <v>45575</v>
      </c>
      <c r="D53" t="s">
        <v>178</v>
      </c>
      <c r="E53" s="52">
        <v>25</v>
      </c>
      <c r="F53" s="52">
        <v>1611</v>
      </c>
    </row>
    <row r="54" spans="1:6" ht="15" customHeight="1" x14ac:dyDescent="0.3">
      <c r="C54" s="54">
        <f ca="1">TODAY()-5</f>
        <v>45576</v>
      </c>
      <c r="D54" t="s">
        <v>181</v>
      </c>
      <c r="E54" s="52">
        <v>45</v>
      </c>
      <c r="F54" s="52">
        <v>5050</v>
      </c>
    </row>
    <row r="55" spans="1:6" ht="15" customHeight="1" x14ac:dyDescent="0.3">
      <c r="C55" s="54">
        <f ca="1">TODAY()-4</f>
        <v>45577</v>
      </c>
      <c r="D55" t="s">
        <v>180</v>
      </c>
      <c r="E55" s="52">
        <v>69</v>
      </c>
      <c r="F55" s="52">
        <v>528</v>
      </c>
    </row>
    <row r="69" spans="1:1" ht="15" customHeight="1" x14ac:dyDescent="0.3">
      <c r="A69" s="16" t="s">
        <v>27</v>
      </c>
    </row>
    <row r="70" spans="1:1" ht="15" customHeight="1" x14ac:dyDescent="0.3">
      <c r="A70" s="16" t="s">
        <v>324</v>
      </c>
    </row>
    <row r="71" spans="1:1" ht="15" customHeight="1" x14ac:dyDescent="0.3">
      <c r="A71" s="16" t="s">
        <v>165</v>
      </c>
    </row>
    <row r="72" spans="1:1" ht="15" customHeight="1" x14ac:dyDescent="0.3">
      <c r="A72" s="16" t="s">
        <v>30</v>
      </c>
    </row>
  </sheetData>
  <sortState xmlns:xlrd2="http://schemas.microsoft.com/office/spreadsheetml/2017/richdata2" ref="C6:G13">
    <sortCondition ref="G5"/>
  </sortState>
  <hyperlinks>
    <hyperlink ref="A71" r:id="rId1" tooltip="Auswählen, um Informationen zum Filtern von Daten in einem Bereich oder einer Tabelle aus dem Web anzuzeigen" xr:uid="{00000000-0004-0000-0500-000000000000}"/>
    <hyperlink ref="A70" r:id="rId2" tooltip="Auswählen, um Informationen zum Sortieren von Daten in einem Bereich oder einer Tabelle aus dem Web anzuzeigen" display="Sortieren von Daten in einem Bereich oder einer Tabelle" xr:uid="{00000000-0004-0000-0500-000001000000}"/>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7"/>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20.109375" customWidth="1"/>
    <col min="4" max="4" width="14.109375" customWidth="1"/>
    <col min="5" max="5" width="12.44140625" customWidth="1"/>
    <col min="6" max="7" width="9.33203125" customWidth="1"/>
    <col min="8" max="8" width="11.109375" customWidth="1"/>
  </cols>
  <sheetData>
    <row r="1" spans="1:9" ht="60" customHeight="1" x14ac:dyDescent="0.85">
      <c r="A1" s="16" t="s">
        <v>187</v>
      </c>
      <c r="B1" s="1"/>
    </row>
    <row r="2" spans="1:9" ht="15" customHeight="1" x14ac:dyDescent="0.3">
      <c r="A2" s="16" t="s">
        <v>188</v>
      </c>
    </row>
    <row r="3" spans="1:9" ht="15" customHeight="1" x14ac:dyDescent="0.45">
      <c r="A3" s="16" t="s">
        <v>189</v>
      </c>
      <c r="B3" s="2"/>
    </row>
    <row r="4" spans="1:9" ht="15" customHeight="1" x14ac:dyDescent="0.3">
      <c r="A4" s="16" t="s">
        <v>190</v>
      </c>
    </row>
    <row r="5" spans="1:9" s="3" customFormat="1" ht="15" customHeight="1" x14ac:dyDescent="0.3">
      <c r="A5" s="16" t="s">
        <v>191</v>
      </c>
      <c r="C5" t="s">
        <v>166</v>
      </c>
      <c r="D5" t="s">
        <v>71</v>
      </c>
      <c r="E5" t="s">
        <v>182</v>
      </c>
      <c r="F5" t="s">
        <v>184</v>
      </c>
      <c r="G5" t="s">
        <v>186</v>
      </c>
      <c r="H5"/>
      <c r="I5"/>
    </row>
    <row r="6" spans="1:9" s="3" customFormat="1" ht="15" customHeight="1" x14ac:dyDescent="0.45">
      <c r="A6" s="16" t="s">
        <v>192</v>
      </c>
      <c r="B6" s="4"/>
      <c r="C6" t="s">
        <v>67</v>
      </c>
      <c r="D6" t="s">
        <v>171</v>
      </c>
      <c r="E6">
        <v>30000</v>
      </c>
      <c r="F6">
        <v>80000</v>
      </c>
      <c r="G6">
        <v>30000</v>
      </c>
      <c r="H6"/>
      <c r="I6"/>
    </row>
    <row r="7" spans="1:9" s="3" customFormat="1" ht="15" customHeight="1" x14ac:dyDescent="0.3">
      <c r="A7" s="16" t="s">
        <v>193</v>
      </c>
      <c r="C7" t="s">
        <v>67</v>
      </c>
      <c r="D7" t="s">
        <v>31</v>
      </c>
      <c r="E7">
        <v>10000</v>
      </c>
      <c r="F7">
        <v>30000</v>
      </c>
      <c r="G7">
        <v>40000</v>
      </c>
      <c r="H7"/>
      <c r="I7"/>
    </row>
    <row r="8" spans="1:9" s="3" customFormat="1" ht="15" customHeight="1" x14ac:dyDescent="0.3">
      <c r="A8" s="16" t="s">
        <v>194</v>
      </c>
      <c r="C8" t="s">
        <v>167</v>
      </c>
      <c r="D8" t="s">
        <v>173</v>
      </c>
      <c r="E8">
        <v>30000</v>
      </c>
      <c r="F8">
        <v>15000</v>
      </c>
      <c r="G8">
        <v>20000</v>
      </c>
      <c r="H8"/>
      <c r="I8"/>
    </row>
    <row r="9" spans="1:9" s="3" customFormat="1" ht="15" customHeight="1" x14ac:dyDescent="0.3">
      <c r="A9" s="47" t="s">
        <v>195</v>
      </c>
      <c r="C9" t="s">
        <v>167</v>
      </c>
      <c r="D9" t="s">
        <v>170</v>
      </c>
      <c r="E9">
        <v>25000</v>
      </c>
      <c r="F9">
        <v>80000</v>
      </c>
      <c r="G9">
        <v>120000</v>
      </c>
      <c r="H9"/>
      <c r="I9"/>
    </row>
    <row r="10" spans="1:9" s="3" customFormat="1" ht="15" customHeight="1" x14ac:dyDescent="0.3">
      <c r="A10" s="16" t="s">
        <v>12</v>
      </c>
      <c r="C10" t="s">
        <v>168</v>
      </c>
      <c r="D10" t="s">
        <v>210</v>
      </c>
      <c r="E10">
        <v>80000</v>
      </c>
      <c r="F10">
        <v>40000</v>
      </c>
      <c r="G10">
        <v>20000</v>
      </c>
      <c r="H10"/>
      <c r="I10"/>
    </row>
    <row r="11" spans="1:9" s="3" customFormat="1" ht="15" customHeight="1" x14ac:dyDescent="0.3">
      <c r="A11" s="16"/>
      <c r="C11" t="s">
        <v>168</v>
      </c>
      <c r="D11" t="s">
        <v>172</v>
      </c>
      <c r="E11">
        <v>90000</v>
      </c>
      <c r="F11">
        <v>35000</v>
      </c>
      <c r="G11">
        <v>25000</v>
      </c>
      <c r="H11"/>
      <c r="I11"/>
    </row>
    <row r="12" spans="1:9" s="3" customFormat="1" ht="15" customHeight="1" x14ac:dyDescent="0.3">
      <c r="A12" s="16"/>
      <c r="C12" t="s">
        <v>44</v>
      </c>
      <c r="D12" t="s">
        <v>45</v>
      </c>
      <c r="E12">
        <v>90000</v>
      </c>
      <c r="F12">
        <v>110000</v>
      </c>
      <c r="G12">
        <v>200000</v>
      </c>
      <c r="H12"/>
      <c r="I12"/>
    </row>
    <row r="13" spans="1:9" s="3" customFormat="1" ht="15" customHeight="1" x14ac:dyDescent="0.3">
      <c r="A13" s="16"/>
      <c r="C13" t="s">
        <v>44</v>
      </c>
      <c r="D13" t="s">
        <v>46</v>
      </c>
      <c r="E13">
        <v>75000</v>
      </c>
      <c r="F13">
        <v>82000</v>
      </c>
      <c r="G13">
        <v>150000</v>
      </c>
      <c r="H13"/>
      <c r="I13"/>
    </row>
    <row r="14" spans="1:9" s="3" customFormat="1" ht="15" customHeight="1" x14ac:dyDescent="0.3">
      <c r="A14" s="16"/>
      <c r="C14"/>
      <c r="D14"/>
      <c r="E14"/>
      <c r="F14"/>
      <c r="G14"/>
      <c r="H14"/>
    </row>
    <row r="15" spans="1:9" s="3" customFormat="1" ht="15" customHeight="1" x14ac:dyDescent="0.3">
      <c r="A15" s="16"/>
      <c r="C15"/>
      <c r="D15"/>
      <c r="E15"/>
      <c r="F15"/>
      <c r="G15"/>
      <c r="H15"/>
    </row>
    <row r="16" spans="1:9" s="3" customFormat="1" ht="15" customHeight="1" x14ac:dyDescent="0.3">
      <c r="A16" s="16"/>
      <c r="C16"/>
      <c r="D16"/>
      <c r="E16"/>
      <c r="F16"/>
      <c r="G16"/>
      <c r="H16"/>
    </row>
    <row r="17" spans="1:8" s="3" customFormat="1" ht="15" customHeight="1" x14ac:dyDescent="0.3">
      <c r="A17" s="16"/>
      <c r="C17"/>
      <c r="D17"/>
      <c r="E17"/>
      <c r="F17"/>
      <c r="G17"/>
      <c r="H17"/>
    </row>
    <row r="18" spans="1:8" s="3" customFormat="1" ht="15" customHeight="1" x14ac:dyDescent="0.3">
      <c r="A18" s="16"/>
      <c r="C18"/>
      <c r="D18"/>
      <c r="E18"/>
      <c r="F18"/>
      <c r="G18"/>
      <c r="H18"/>
    </row>
    <row r="19" spans="1:8" s="3" customFormat="1" ht="15" customHeight="1" x14ac:dyDescent="0.3">
      <c r="A19" s="16"/>
      <c r="C19"/>
      <c r="D19"/>
      <c r="E19"/>
      <c r="F19"/>
      <c r="G19"/>
      <c r="H19"/>
    </row>
    <row r="20" spans="1:8" s="3" customFormat="1" ht="15" customHeight="1" x14ac:dyDescent="0.3">
      <c r="A20" s="16"/>
      <c r="C20"/>
      <c r="D20"/>
      <c r="E20"/>
      <c r="F20"/>
      <c r="G20"/>
      <c r="H20"/>
    </row>
    <row r="21" spans="1:8" s="3" customFormat="1" ht="15" customHeight="1" x14ac:dyDescent="0.3">
      <c r="A21" s="16"/>
      <c r="C21"/>
      <c r="D21"/>
      <c r="E21"/>
      <c r="F21"/>
      <c r="G21"/>
      <c r="H21"/>
    </row>
    <row r="22" spans="1:8" s="3" customFormat="1" ht="15" customHeight="1" x14ac:dyDescent="0.3">
      <c r="A22" s="16"/>
    </row>
    <row r="23" spans="1:8" s="3" customFormat="1" ht="15" customHeight="1" x14ac:dyDescent="0.3">
      <c r="A23" s="16"/>
    </row>
    <row r="24" spans="1:8" s="3" customFormat="1" ht="15" customHeight="1" x14ac:dyDescent="0.3">
      <c r="A24" s="16"/>
    </row>
    <row r="27" spans="1:8" ht="15" customHeight="1" x14ac:dyDescent="0.3">
      <c r="A27" s="16" t="s">
        <v>196</v>
      </c>
    </row>
    <row r="28" spans="1:8" ht="15" customHeight="1" x14ac:dyDescent="0.3">
      <c r="A28" s="16" t="s">
        <v>197</v>
      </c>
    </row>
    <row r="29" spans="1:8" ht="15" customHeight="1" x14ac:dyDescent="0.3">
      <c r="A29" s="16" t="s">
        <v>368</v>
      </c>
    </row>
    <row r="30" spans="1:8" ht="15" customHeight="1" x14ac:dyDescent="0.3">
      <c r="A30" s="16" t="s">
        <v>369</v>
      </c>
    </row>
    <row r="31" spans="1:8" ht="15" customHeight="1" x14ac:dyDescent="0.3">
      <c r="A31" s="16" t="s">
        <v>198</v>
      </c>
    </row>
    <row r="32" spans="1:8" ht="15" customHeight="1" x14ac:dyDescent="0.3">
      <c r="A32" s="16" t="s">
        <v>370</v>
      </c>
    </row>
    <row r="33" spans="1:8" ht="15" customHeight="1" x14ac:dyDescent="0.3">
      <c r="A33" s="16" t="s">
        <v>199</v>
      </c>
      <c r="C33" s="30" t="s">
        <v>166</v>
      </c>
      <c r="D33" s="30" t="s">
        <v>71</v>
      </c>
      <c r="E33" s="30" t="s">
        <v>182</v>
      </c>
      <c r="F33" s="30" t="s">
        <v>184</v>
      </c>
      <c r="G33" s="30" t="s">
        <v>186</v>
      </c>
      <c r="H33" s="30" t="s">
        <v>212</v>
      </c>
    </row>
    <row r="34" spans="1:8" ht="15" customHeight="1" x14ac:dyDescent="0.3">
      <c r="C34" s="5" t="s">
        <v>67</v>
      </c>
      <c r="D34" s="5" t="s">
        <v>171</v>
      </c>
      <c r="E34" s="55">
        <v>30000</v>
      </c>
      <c r="F34" s="55">
        <v>80000</v>
      </c>
      <c r="G34" s="55">
        <v>30000</v>
      </c>
      <c r="H34" s="55"/>
    </row>
    <row r="35" spans="1:8" ht="15" customHeight="1" x14ac:dyDescent="0.3">
      <c r="C35" t="s">
        <v>67</v>
      </c>
      <c r="D35" t="s">
        <v>31</v>
      </c>
      <c r="E35" s="55">
        <v>10000</v>
      </c>
      <c r="F35" s="55">
        <v>30000</v>
      </c>
      <c r="G35" s="55">
        <v>40000</v>
      </c>
      <c r="H35" s="55"/>
    </row>
    <row r="36" spans="1:8" ht="15" customHeight="1" x14ac:dyDescent="0.3">
      <c r="C36" s="5" t="s">
        <v>167</v>
      </c>
      <c r="D36" s="5" t="s">
        <v>173</v>
      </c>
      <c r="E36" s="55">
        <v>30000</v>
      </c>
      <c r="F36" s="55">
        <v>15000</v>
      </c>
      <c r="G36" s="55">
        <v>20000</v>
      </c>
      <c r="H36" s="55"/>
    </row>
    <row r="37" spans="1:8" ht="15" customHeight="1" x14ac:dyDescent="0.3">
      <c r="C37" t="s">
        <v>167</v>
      </c>
      <c r="D37" t="s">
        <v>170</v>
      </c>
      <c r="E37" s="55">
        <v>25000</v>
      </c>
      <c r="F37" s="55">
        <v>80000</v>
      </c>
      <c r="G37" s="55">
        <v>120000</v>
      </c>
      <c r="H37" s="55"/>
    </row>
    <row r="38" spans="1:8" ht="15" customHeight="1" x14ac:dyDescent="0.3">
      <c r="C38" s="5" t="s">
        <v>168</v>
      </c>
      <c r="D38" s="5" t="s">
        <v>174</v>
      </c>
      <c r="E38" s="55">
        <v>80000</v>
      </c>
      <c r="F38" s="55">
        <v>40000</v>
      </c>
      <c r="G38" s="55">
        <v>20000</v>
      </c>
      <c r="H38" s="55"/>
    </row>
    <row r="39" spans="1:8" ht="15" customHeight="1" x14ac:dyDescent="0.3">
      <c r="C39" t="s">
        <v>168</v>
      </c>
      <c r="D39" t="s">
        <v>172</v>
      </c>
      <c r="E39" s="55">
        <v>90000</v>
      </c>
      <c r="F39" s="55">
        <v>35000</v>
      </c>
      <c r="G39" s="55">
        <v>25000</v>
      </c>
      <c r="H39" s="55"/>
    </row>
    <row r="40" spans="1:8" ht="15" customHeight="1" x14ac:dyDescent="0.3">
      <c r="C40" s="5" t="s">
        <v>44</v>
      </c>
      <c r="D40" s="5" t="s">
        <v>45</v>
      </c>
      <c r="E40" s="55">
        <v>90000</v>
      </c>
      <c r="F40" s="55">
        <v>110000</v>
      </c>
      <c r="G40" s="55">
        <v>200000</v>
      </c>
      <c r="H40" s="55"/>
    </row>
    <row r="41" spans="1:8" ht="15" customHeight="1" x14ac:dyDescent="0.3">
      <c r="C41" t="s">
        <v>44</v>
      </c>
      <c r="D41" t="s">
        <v>46</v>
      </c>
      <c r="E41" s="55">
        <v>75000</v>
      </c>
      <c r="F41" s="55">
        <v>82000</v>
      </c>
      <c r="G41" s="55">
        <v>150000</v>
      </c>
      <c r="H41" s="55"/>
    </row>
    <row r="47" spans="1:8" ht="15" customHeight="1" x14ac:dyDescent="0.3">
      <c r="A47" s="16" t="s">
        <v>200</v>
      </c>
    </row>
    <row r="48" spans="1:8" ht="15" customHeight="1" x14ac:dyDescent="0.3">
      <c r="A48" s="16" t="s">
        <v>371</v>
      </c>
    </row>
    <row r="49" spans="1:5" ht="15" customHeight="1" x14ac:dyDescent="0.3">
      <c r="A49" s="16" t="s">
        <v>201</v>
      </c>
    </row>
    <row r="50" spans="1:5" ht="15" customHeight="1" x14ac:dyDescent="0.3">
      <c r="A50" s="16" t="s">
        <v>202</v>
      </c>
    </row>
    <row r="51" spans="1:5" ht="15" customHeight="1" x14ac:dyDescent="0.3">
      <c r="A51" s="16" t="s">
        <v>203</v>
      </c>
    </row>
    <row r="52" spans="1:5" ht="15" customHeight="1" x14ac:dyDescent="0.3">
      <c r="A52" s="16" t="s">
        <v>204</v>
      </c>
    </row>
    <row r="53" spans="1:5" ht="15" customHeight="1" x14ac:dyDescent="0.3">
      <c r="A53" s="16" t="s">
        <v>372</v>
      </c>
      <c r="C53" s="30" t="s">
        <v>166</v>
      </c>
      <c r="D53" s="30" t="s">
        <v>71</v>
      </c>
      <c r="E53" s="30" t="s">
        <v>211</v>
      </c>
    </row>
    <row r="54" spans="1:5" ht="15" customHeight="1" x14ac:dyDescent="0.3">
      <c r="A54" s="16" t="s">
        <v>205</v>
      </c>
      <c r="C54" t="s">
        <v>67</v>
      </c>
      <c r="D54" t="s">
        <v>171</v>
      </c>
      <c r="E54" s="55">
        <v>1000</v>
      </c>
    </row>
    <row r="55" spans="1:5" ht="15" customHeight="1" x14ac:dyDescent="0.3">
      <c r="A55" s="16" t="s">
        <v>206</v>
      </c>
      <c r="C55" t="s">
        <v>67</v>
      </c>
      <c r="D55" t="s">
        <v>31</v>
      </c>
      <c r="E55" s="55">
        <v>2000</v>
      </c>
    </row>
    <row r="56" spans="1:5" ht="15" customHeight="1" x14ac:dyDescent="0.3">
      <c r="A56" s="16" t="s">
        <v>207</v>
      </c>
      <c r="C56" t="s">
        <v>167</v>
      </c>
      <c r="D56" t="s">
        <v>173</v>
      </c>
      <c r="E56" s="55">
        <v>3000</v>
      </c>
    </row>
    <row r="57" spans="1:5" ht="15" customHeight="1" x14ac:dyDescent="0.3">
      <c r="A57" s="16" t="s">
        <v>325</v>
      </c>
      <c r="C57" t="s">
        <v>167</v>
      </c>
      <c r="D57" t="s">
        <v>170</v>
      </c>
      <c r="E57" s="55">
        <v>1000</v>
      </c>
    </row>
    <row r="58" spans="1:5" ht="15" customHeight="1" x14ac:dyDescent="0.3">
      <c r="C58" t="s">
        <v>168</v>
      </c>
      <c r="D58" t="s">
        <v>174</v>
      </c>
      <c r="E58" s="55">
        <v>2000</v>
      </c>
    </row>
    <row r="59" spans="1:5" ht="15" customHeight="1" x14ac:dyDescent="0.3">
      <c r="C59" t="s">
        <v>168</v>
      </c>
      <c r="D59" t="s">
        <v>172</v>
      </c>
      <c r="E59" s="55">
        <v>3000</v>
      </c>
    </row>
    <row r="60" spans="1:5" ht="15" customHeight="1" x14ac:dyDescent="0.3">
      <c r="C60" t="s">
        <v>44</v>
      </c>
      <c r="D60" t="s">
        <v>45</v>
      </c>
      <c r="E60" s="55">
        <v>4000</v>
      </c>
    </row>
    <row r="61" spans="1:5" ht="15" customHeight="1" x14ac:dyDescent="0.3">
      <c r="C61" t="s">
        <v>44</v>
      </c>
      <c r="D61" t="s">
        <v>46</v>
      </c>
      <c r="E61" s="55">
        <v>8000</v>
      </c>
    </row>
    <row r="73" spans="1:2" ht="15" customHeight="1" x14ac:dyDescent="0.3">
      <c r="A73" s="16" t="s">
        <v>27</v>
      </c>
    </row>
    <row r="74" spans="1:2" ht="15" customHeight="1" x14ac:dyDescent="0.3">
      <c r="A74" s="16" t="s">
        <v>208</v>
      </c>
    </row>
    <row r="75" spans="1:2" ht="15" customHeight="1" x14ac:dyDescent="0.3">
      <c r="A75" s="16" t="s">
        <v>326</v>
      </c>
    </row>
    <row r="76" spans="1:2" ht="15" customHeight="1" x14ac:dyDescent="0.3">
      <c r="A76" s="47" t="s">
        <v>327</v>
      </c>
      <c r="B76" t="s">
        <v>209</v>
      </c>
    </row>
    <row r="77" spans="1:2" ht="15" customHeight="1" x14ac:dyDescent="0.3">
      <c r="A77" s="16" t="s">
        <v>30</v>
      </c>
    </row>
  </sheetData>
  <hyperlinks>
    <hyperlink ref="A76" r:id="rId1" tooltip="Auswählen, um Informationen aus dem Web zur Verwendung von berechneten Spalten in einer Excel-Tabelle anzuzeigen" display="Verwenden von berechneten Spalten in einer Excel-Tabelle" xr:uid="{00000000-0004-0000-0600-000000000000}"/>
    <hyperlink ref="A75" r:id="rId2" tooltip="Auswählen, um Informationen aus dem Web zum Ermitteln von Ergebnissen in einer Excel-Tabelle anzuzeigen" display="Ermitteln von Ergebnissen in einer Excel-Tabelle" xr:uid="{00000000-0004-0000-0600-000001000000}"/>
    <hyperlink ref="A74" r:id="rId3" tooltip="Auswählen, um eine Übersicht aus dem Web zu Excel-Tabellen anzuzeigen" xr:uid="{00000000-0004-0000-0600-000002000000}"/>
  </hyperlinks>
  <pageMargins left="0.7" right="0.7" top="0.75" bottom="0.75" header="0.3" footer="0.3"/>
  <pageSetup paperSize="9"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8"/>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2.33203125" customWidth="1"/>
    <col min="4" max="4" width="11.6640625" customWidth="1"/>
    <col min="5" max="5" width="13.88671875" customWidth="1"/>
    <col min="6" max="6" width="17.44140625" customWidth="1"/>
  </cols>
  <sheetData>
    <row r="1" spans="1:6" ht="60" customHeight="1" x14ac:dyDescent="0.3">
      <c r="A1" s="16" t="s">
        <v>213</v>
      </c>
    </row>
    <row r="2" spans="1:6" ht="15" customHeight="1" x14ac:dyDescent="0.3">
      <c r="A2" s="16" t="s">
        <v>214</v>
      </c>
    </row>
    <row r="3" spans="1:6" ht="15" customHeight="1" x14ac:dyDescent="0.3">
      <c r="A3" s="16" t="s">
        <v>374</v>
      </c>
      <c r="C3" s="30" t="s">
        <v>183</v>
      </c>
      <c r="D3" s="30" t="s">
        <v>166</v>
      </c>
    </row>
    <row r="4" spans="1:6" ht="15" customHeight="1" x14ac:dyDescent="0.3">
      <c r="A4" s="16" t="s">
        <v>375</v>
      </c>
      <c r="C4" s="6" t="s">
        <v>32</v>
      </c>
      <c r="D4" s="7"/>
    </row>
    <row r="5" spans="1:6" s="3" customFormat="1" ht="15" customHeight="1" x14ac:dyDescent="0.3">
      <c r="A5" s="16" t="s">
        <v>215</v>
      </c>
      <c r="B5"/>
      <c r="C5" s="6" t="s">
        <v>45</v>
      </c>
      <c r="D5" s="7"/>
      <c r="F5"/>
    </row>
    <row r="6" spans="1:6" s="3" customFormat="1" ht="15" customHeight="1" x14ac:dyDescent="0.3">
      <c r="A6" s="16" t="s">
        <v>376</v>
      </c>
      <c r="B6"/>
      <c r="C6" s="6" t="s">
        <v>34</v>
      </c>
      <c r="D6" s="7"/>
      <c r="F6"/>
    </row>
    <row r="7" spans="1:6" s="3" customFormat="1" ht="15" customHeight="1" x14ac:dyDescent="0.3">
      <c r="A7" s="16" t="s">
        <v>216</v>
      </c>
      <c r="B7"/>
      <c r="C7" s="6" t="s">
        <v>35</v>
      </c>
      <c r="D7" s="7"/>
      <c r="F7"/>
    </row>
    <row r="8" spans="1:6" s="3" customFormat="1" ht="15" customHeight="1" x14ac:dyDescent="0.3">
      <c r="A8" s="16" t="s">
        <v>217</v>
      </c>
      <c r="B8"/>
      <c r="C8" s="6" t="s">
        <v>228</v>
      </c>
      <c r="D8" s="7"/>
      <c r="F8"/>
    </row>
    <row r="9" spans="1:6" s="3" customFormat="1" ht="15" customHeight="1" x14ac:dyDescent="0.3">
      <c r="A9" s="47" t="s">
        <v>329</v>
      </c>
      <c r="B9"/>
      <c r="C9" s="6" t="s">
        <v>229</v>
      </c>
      <c r="D9" s="7"/>
      <c r="F9"/>
    </row>
    <row r="10" spans="1:6" s="3" customFormat="1" ht="15" customHeight="1" x14ac:dyDescent="0.3">
      <c r="A10" s="16" t="s">
        <v>12</v>
      </c>
      <c r="B10"/>
      <c r="C10" s="6" t="s">
        <v>230</v>
      </c>
      <c r="D10" s="7"/>
      <c r="F10"/>
    </row>
    <row r="11" spans="1:6" s="3" customFormat="1" ht="15" customHeight="1" x14ac:dyDescent="0.3">
      <c r="A11" s="16"/>
      <c r="B11"/>
      <c r="C11" s="6" t="s">
        <v>37</v>
      </c>
      <c r="D11" s="7"/>
      <c r="F11"/>
    </row>
    <row r="12" spans="1:6" s="3" customFormat="1" ht="15" customHeight="1" x14ac:dyDescent="0.3">
      <c r="A12" s="16"/>
      <c r="B12"/>
      <c r="C12" s="6" t="s">
        <v>46</v>
      </c>
      <c r="D12" s="7"/>
      <c r="F12"/>
    </row>
    <row r="13" spans="1:6" s="3" customFormat="1" ht="15" customHeight="1" x14ac:dyDescent="0.3">
      <c r="A13" s="16"/>
      <c r="B13"/>
      <c r="C13" s="6" t="s">
        <v>39</v>
      </c>
      <c r="D13" s="7"/>
      <c r="F13"/>
    </row>
    <row r="14" spans="1:6" s="3" customFormat="1" ht="15" customHeight="1" x14ac:dyDescent="0.3">
      <c r="A14" s="16"/>
      <c r="B14"/>
      <c r="C14" s="6" t="s">
        <v>40</v>
      </c>
      <c r="D14" s="7"/>
      <c r="F14"/>
    </row>
    <row r="15" spans="1:6" s="3" customFormat="1" ht="15" customHeight="1" x14ac:dyDescent="0.3">
      <c r="A15" s="16"/>
      <c r="B15"/>
      <c r="C15" s="6" t="s">
        <v>41</v>
      </c>
      <c r="D15" s="7"/>
      <c r="F15"/>
    </row>
    <row r="16" spans="1:6" s="3" customFormat="1" ht="15" customHeight="1" x14ac:dyDescent="0.3">
      <c r="A16" s="16"/>
      <c r="B16"/>
    </row>
    <row r="17" spans="1:6" s="3" customFormat="1" ht="15" customHeight="1" x14ac:dyDescent="0.3">
      <c r="A17" s="16"/>
      <c r="B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218</v>
      </c>
    </row>
    <row r="28" spans="1:6" ht="15" customHeight="1" x14ac:dyDescent="0.3">
      <c r="A28" s="16" t="s">
        <v>219</v>
      </c>
    </row>
    <row r="29" spans="1:6" ht="15" customHeight="1" x14ac:dyDescent="0.3">
      <c r="A29" s="16" t="s">
        <v>220</v>
      </c>
    </row>
    <row r="30" spans="1:6" ht="15" customHeight="1" x14ac:dyDescent="0.3">
      <c r="A30" s="16" t="s">
        <v>221</v>
      </c>
    </row>
    <row r="31" spans="1:6" ht="15" customHeight="1" x14ac:dyDescent="0.3">
      <c r="A31" s="16" t="s">
        <v>222</v>
      </c>
      <c r="C31" s="30" t="s">
        <v>183</v>
      </c>
      <c r="D31" s="30" t="s">
        <v>166</v>
      </c>
      <c r="F31" s="43" t="s">
        <v>166</v>
      </c>
    </row>
    <row r="32" spans="1:6" ht="15" customHeight="1" x14ac:dyDescent="0.3">
      <c r="A32" s="16" t="s">
        <v>223</v>
      </c>
      <c r="C32" s="6" t="s">
        <v>32</v>
      </c>
      <c r="D32" s="6"/>
      <c r="F32" s="8" t="s">
        <v>67</v>
      </c>
    </row>
    <row r="33" spans="1:6" ht="15" customHeight="1" x14ac:dyDescent="0.3">
      <c r="A33" s="16" t="s">
        <v>377</v>
      </c>
      <c r="C33" s="6" t="s">
        <v>45</v>
      </c>
      <c r="D33" s="6"/>
      <c r="F33" s="6" t="s">
        <v>44</v>
      </c>
    </row>
    <row r="34" spans="1:6" ht="15" customHeight="1" x14ac:dyDescent="0.3">
      <c r="A34" s="16" t="s">
        <v>224</v>
      </c>
      <c r="C34" s="6" t="s">
        <v>34</v>
      </c>
      <c r="D34" s="6"/>
      <c r="F34" s="8" t="s">
        <v>167</v>
      </c>
    </row>
    <row r="35" spans="1:6" ht="15" customHeight="1" x14ac:dyDescent="0.3">
      <c r="A35" s="16" t="s">
        <v>225</v>
      </c>
      <c r="C35" s="6" t="s">
        <v>35</v>
      </c>
      <c r="D35" s="6"/>
    </row>
    <row r="36" spans="1:6" ht="15" customHeight="1" x14ac:dyDescent="0.3">
      <c r="A36" s="16" t="s">
        <v>340</v>
      </c>
      <c r="C36" s="6" t="s">
        <v>228</v>
      </c>
      <c r="D36" s="6"/>
    </row>
    <row r="37" spans="1:6" ht="15" customHeight="1" x14ac:dyDescent="0.3">
      <c r="A37" s="16" t="s">
        <v>226</v>
      </c>
      <c r="C37" s="6" t="s">
        <v>229</v>
      </c>
      <c r="D37" s="6"/>
    </row>
    <row r="38" spans="1:6" ht="15" customHeight="1" x14ac:dyDescent="0.3">
      <c r="A38" s="16" t="s">
        <v>328</v>
      </c>
      <c r="C38" s="6" t="s">
        <v>230</v>
      </c>
      <c r="D38" s="6"/>
    </row>
    <row r="39" spans="1:6" ht="15" customHeight="1" x14ac:dyDescent="0.3">
      <c r="C39" s="6" t="s">
        <v>37</v>
      </c>
      <c r="D39" s="6"/>
    </row>
    <row r="40" spans="1:6" ht="15" customHeight="1" x14ac:dyDescent="0.3">
      <c r="C40" s="6" t="s">
        <v>46</v>
      </c>
      <c r="D40" s="6"/>
    </row>
    <row r="41" spans="1:6" ht="15" customHeight="1" x14ac:dyDescent="0.3">
      <c r="C41" s="6" t="s">
        <v>39</v>
      </c>
      <c r="D41" s="6"/>
    </row>
    <row r="42" spans="1:6" ht="15" customHeight="1" x14ac:dyDescent="0.3">
      <c r="C42" s="6" t="s">
        <v>40</v>
      </c>
      <c r="D42" s="6"/>
    </row>
    <row r="43" spans="1:6" ht="15" customHeight="1" x14ac:dyDescent="0.3">
      <c r="C43" s="6" t="s">
        <v>41</v>
      </c>
      <c r="D43" s="6"/>
    </row>
    <row r="65" spans="1:1" ht="15" customHeight="1" x14ac:dyDescent="0.3">
      <c r="A65" s="16" t="s">
        <v>27</v>
      </c>
    </row>
    <row r="66" spans="1:1" ht="15" customHeight="1" x14ac:dyDescent="0.3">
      <c r="A66" s="16" t="s">
        <v>227</v>
      </c>
    </row>
    <row r="67" spans="1:1" ht="15" customHeight="1" x14ac:dyDescent="0.3">
      <c r="A67" s="16" t="s">
        <v>330</v>
      </c>
    </row>
    <row r="68" spans="1:1" ht="15" customHeight="1" x14ac:dyDescent="0.3">
      <c r="A68" s="16" t="s">
        <v>30</v>
      </c>
    </row>
  </sheetData>
  <hyperlinks>
    <hyperlink ref="A67" r:id="rId1" tooltip="Auswählen, um Informationen zum Erstellen einer Dropdownliste aus dem Web anzuzeigen" display="Dropdownliste erstellen" xr:uid="{00000000-0004-0000-0700-000000000000}"/>
    <hyperlink ref="A66" r:id="rId2" tooltip="Auswählen, um Informationen zum Anwenden von Datenüberprüfung auf Zellen aus dem Web anzuzeigen" xr:uid="{00000000-0004-0000-0700-000001000000}"/>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6"/>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9.44140625" customWidth="1"/>
    <col min="4" max="4" width="13.6640625" customWidth="1"/>
    <col min="5" max="5" width="10.88671875" customWidth="1"/>
    <col min="6" max="7" width="11.88671875" customWidth="1"/>
  </cols>
  <sheetData>
    <row r="1" spans="1:7" ht="60" customHeight="1" x14ac:dyDescent="0.3">
      <c r="A1" s="16" t="s">
        <v>231</v>
      </c>
    </row>
    <row r="2" spans="1:7" ht="15" customHeight="1" x14ac:dyDescent="0.3">
      <c r="A2" s="16" t="s">
        <v>232</v>
      </c>
    </row>
    <row r="3" spans="1:7" ht="15" customHeight="1" x14ac:dyDescent="0.3">
      <c r="A3" s="16" t="s">
        <v>233</v>
      </c>
    </row>
    <row r="4" spans="1:7" ht="15" customHeight="1" x14ac:dyDescent="0.3">
      <c r="A4" s="16" t="s">
        <v>234</v>
      </c>
    </row>
    <row r="5" spans="1:7" s="3" customFormat="1" ht="15" customHeight="1" x14ac:dyDescent="0.3">
      <c r="A5" s="16" t="s">
        <v>235</v>
      </c>
      <c r="B5"/>
      <c r="C5" t="s">
        <v>166</v>
      </c>
      <c r="D5" t="s">
        <v>71</v>
      </c>
      <c r="E5" t="s">
        <v>182</v>
      </c>
      <c r="F5" t="s">
        <v>184</v>
      </c>
      <c r="G5" t="s">
        <v>186</v>
      </c>
    </row>
    <row r="6" spans="1:7" s="3" customFormat="1" ht="15" customHeight="1" x14ac:dyDescent="0.3">
      <c r="A6" s="16" t="s">
        <v>236</v>
      </c>
      <c r="B6"/>
      <c r="C6" t="s">
        <v>67</v>
      </c>
      <c r="D6" t="s">
        <v>171</v>
      </c>
      <c r="E6" s="55">
        <v>30000</v>
      </c>
      <c r="F6" s="55">
        <v>80000</v>
      </c>
      <c r="G6" s="55">
        <v>30000</v>
      </c>
    </row>
    <row r="7" spans="1:7" s="3" customFormat="1" ht="15" customHeight="1" x14ac:dyDescent="0.3">
      <c r="A7" s="16" t="s">
        <v>237</v>
      </c>
      <c r="B7"/>
      <c r="C7" t="s">
        <v>67</v>
      </c>
      <c r="D7" t="s">
        <v>31</v>
      </c>
      <c r="E7" s="55">
        <v>10000</v>
      </c>
      <c r="F7" s="55">
        <v>30000</v>
      </c>
      <c r="G7" s="55">
        <v>40000</v>
      </c>
    </row>
    <row r="8" spans="1:7" s="3" customFormat="1" ht="15" customHeight="1" x14ac:dyDescent="0.3">
      <c r="A8" s="16" t="s">
        <v>238</v>
      </c>
      <c r="B8"/>
      <c r="C8" t="s">
        <v>167</v>
      </c>
      <c r="D8" t="s">
        <v>173</v>
      </c>
      <c r="E8" s="55">
        <v>30000</v>
      </c>
      <c r="F8" s="55">
        <v>15000</v>
      </c>
      <c r="G8" s="55">
        <v>20000</v>
      </c>
    </row>
    <row r="9" spans="1:7" s="3" customFormat="1" ht="15" customHeight="1" x14ac:dyDescent="0.3">
      <c r="A9" s="16" t="s">
        <v>239</v>
      </c>
      <c r="B9"/>
      <c r="C9" t="s">
        <v>167</v>
      </c>
      <c r="D9" t="s">
        <v>170</v>
      </c>
      <c r="E9" s="55">
        <v>25000</v>
      </c>
      <c r="F9" s="55">
        <v>80000</v>
      </c>
      <c r="G9" s="55">
        <v>120000</v>
      </c>
    </row>
    <row r="10" spans="1:7" s="3" customFormat="1" ht="15" customHeight="1" x14ac:dyDescent="0.3">
      <c r="A10" s="16" t="s">
        <v>12</v>
      </c>
      <c r="B10"/>
      <c r="C10" t="s">
        <v>168</v>
      </c>
      <c r="D10" t="s">
        <v>210</v>
      </c>
      <c r="E10" s="55">
        <v>80000</v>
      </c>
      <c r="F10" s="55">
        <v>40000</v>
      </c>
      <c r="G10" s="55">
        <v>20000</v>
      </c>
    </row>
    <row r="11" spans="1:7" s="3" customFormat="1" ht="15" customHeight="1" x14ac:dyDescent="0.3">
      <c r="A11" s="16"/>
      <c r="B11"/>
      <c r="C11" t="s">
        <v>168</v>
      </c>
      <c r="D11" t="s">
        <v>172</v>
      </c>
      <c r="E11" s="55">
        <v>90000</v>
      </c>
      <c r="F11" s="55">
        <v>35000</v>
      </c>
      <c r="G11" s="55">
        <v>25000</v>
      </c>
    </row>
    <row r="12" spans="1:7" s="3" customFormat="1" ht="15" customHeight="1" x14ac:dyDescent="0.3">
      <c r="A12" s="16"/>
      <c r="B12"/>
      <c r="C12" t="s">
        <v>44</v>
      </c>
      <c r="D12" t="s">
        <v>45</v>
      </c>
      <c r="E12" s="55">
        <v>90000</v>
      </c>
      <c r="F12" s="55">
        <v>110000</v>
      </c>
      <c r="G12" s="55">
        <v>200000</v>
      </c>
    </row>
    <row r="13" spans="1:7" s="3" customFormat="1" ht="15" customHeight="1" x14ac:dyDescent="0.3">
      <c r="A13" s="16"/>
      <c r="B13"/>
      <c r="C13" t="s">
        <v>44</v>
      </c>
      <c r="D13" t="s">
        <v>46</v>
      </c>
      <c r="E13" s="55">
        <v>75000</v>
      </c>
      <c r="F13" s="55">
        <v>82000</v>
      </c>
      <c r="G13" s="55">
        <v>150000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240</v>
      </c>
    </row>
    <row r="28" spans="1:7" ht="15" customHeight="1" x14ac:dyDescent="0.3">
      <c r="A28" s="16" t="s">
        <v>241</v>
      </c>
    </row>
    <row r="29" spans="1:7" ht="15" customHeight="1" x14ac:dyDescent="0.3">
      <c r="A29" s="16" t="s">
        <v>242</v>
      </c>
    </row>
    <row r="30" spans="1:7" ht="15" customHeight="1" x14ac:dyDescent="0.3">
      <c r="A30" s="16" t="s">
        <v>243</v>
      </c>
    </row>
    <row r="31" spans="1:7" ht="15" customHeight="1" x14ac:dyDescent="0.3">
      <c r="A31" s="16" t="s">
        <v>244</v>
      </c>
    </row>
    <row r="32" spans="1:7" ht="15" customHeight="1" x14ac:dyDescent="0.3">
      <c r="A32" s="16" t="s">
        <v>245</v>
      </c>
    </row>
    <row r="33" spans="1:7" ht="15" customHeight="1" x14ac:dyDescent="0.3">
      <c r="A33" s="16" t="s">
        <v>246</v>
      </c>
    </row>
    <row r="34" spans="1:7" ht="15" customHeight="1" x14ac:dyDescent="0.3">
      <c r="A34" s="16" t="s">
        <v>93</v>
      </c>
      <c r="C34" t="s">
        <v>166</v>
      </c>
      <c r="D34" t="s">
        <v>71</v>
      </c>
      <c r="E34" t="s">
        <v>182</v>
      </c>
      <c r="F34" t="s">
        <v>184</v>
      </c>
      <c r="G34" t="s">
        <v>186</v>
      </c>
    </row>
    <row r="35" spans="1:7" ht="15" customHeight="1" x14ac:dyDescent="0.3">
      <c r="C35" t="s">
        <v>167</v>
      </c>
      <c r="D35" t="s">
        <v>173</v>
      </c>
      <c r="E35" s="55">
        <v>30000</v>
      </c>
      <c r="F35" s="55">
        <v>15000</v>
      </c>
      <c r="G35" s="55">
        <v>20000</v>
      </c>
    </row>
    <row r="36" spans="1:7" ht="15" customHeight="1" x14ac:dyDescent="0.3">
      <c r="C36" t="s">
        <v>167</v>
      </c>
      <c r="D36" t="s">
        <v>170</v>
      </c>
      <c r="E36" s="55">
        <v>25000</v>
      </c>
      <c r="F36" s="55">
        <v>80000</v>
      </c>
      <c r="G36" s="55">
        <v>120000</v>
      </c>
    </row>
    <row r="37" spans="1:7" ht="15" customHeight="1" x14ac:dyDescent="0.3">
      <c r="C37" t="s">
        <v>168</v>
      </c>
      <c r="D37" t="s">
        <v>174</v>
      </c>
      <c r="E37" s="55">
        <v>80000</v>
      </c>
      <c r="F37" s="55">
        <v>40000</v>
      </c>
      <c r="G37" s="55">
        <v>20000</v>
      </c>
    </row>
    <row r="38" spans="1:7" ht="15" customHeight="1" x14ac:dyDescent="0.3">
      <c r="C38" t="s">
        <v>168</v>
      </c>
      <c r="D38" t="s">
        <v>172</v>
      </c>
      <c r="E38" s="55">
        <v>90000</v>
      </c>
      <c r="F38" s="55">
        <v>35000</v>
      </c>
      <c r="G38" s="55">
        <v>25000</v>
      </c>
    </row>
    <row r="39" spans="1:7" ht="15" customHeight="1" x14ac:dyDescent="0.3">
      <c r="C39" t="s">
        <v>44</v>
      </c>
      <c r="D39" t="s">
        <v>45</v>
      </c>
      <c r="E39" s="55">
        <v>90000</v>
      </c>
      <c r="F39" s="55">
        <v>110000</v>
      </c>
      <c r="G39" s="55">
        <v>200000</v>
      </c>
    </row>
    <row r="40" spans="1:7" ht="15" customHeight="1" x14ac:dyDescent="0.3">
      <c r="C40" t="s">
        <v>44</v>
      </c>
      <c r="D40" t="s">
        <v>46</v>
      </c>
      <c r="E40" s="55">
        <v>75000</v>
      </c>
      <c r="F40" s="55">
        <v>82000</v>
      </c>
      <c r="G40" s="55">
        <v>150000</v>
      </c>
    </row>
    <row r="41" spans="1:7" ht="15" customHeight="1" x14ac:dyDescent="0.3">
      <c r="C41" t="s">
        <v>67</v>
      </c>
      <c r="D41" t="s">
        <v>171</v>
      </c>
      <c r="E41" s="55">
        <v>30000</v>
      </c>
      <c r="F41" s="55">
        <v>80000</v>
      </c>
      <c r="G41" s="55">
        <v>30000</v>
      </c>
    </row>
    <row r="42" spans="1:7" ht="15" customHeight="1" x14ac:dyDescent="0.3">
      <c r="C42" t="s">
        <v>67</v>
      </c>
      <c r="D42" t="s">
        <v>31</v>
      </c>
      <c r="E42" s="55">
        <v>10000</v>
      </c>
      <c r="F42" s="55">
        <v>30000</v>
      </c>
      <c r="G42" s="55">
        <v>40000</v>
      </c>
    </row>
    <row r="49" spans="1:7" ht="15" customHeight="1" x14ac:dyDescent="0.3">
      <c r="A49" s="16" t="s">
        <v>247</v>
      </c>
    </row>
    <row r="50" spans="1:7" ht="15" customHeight="1" x14ac:dyDescent="0.3">
      <c r="A50" s="16" t="s">
        <v>248</v>
      </c>
    </row>
    <row r="51" spans="1:7" ht="15" customHeight="1" x14ac:dyDescent="0.3">
      <c r="A51" s="16" t="s">
        <v>249</v>
      </c>
    </row>
    <row r="52" spans="1:7" ht="15" customHeight="1" x14ac:dyDescent="0.3">
      <c r="A52" s="16" t="s">
        <v>250</v>
      </c>
    </row>
    <row r="53" spans="1:7" ht="15" customHeight="1" x14ac:dyDescent="0.3">
      <c r="A53" s="16" t="s">
        <v>251</v>
      </c>
    </row>
    <row r="54" spans="1:7" ht="15" customHeight="1" x14ac:dyDescent="0.3">
      <c r="A54" s="16" t="s">
        <v>252</v>
      </c>
      <c r="C54" t="s">
        <v>166</v>
      </c>
      <c r="D54" t="s">
        <v>71</v>
      </c>
      <c r="E54" t="s">
        <v>182</v>
      </c>
      <c r="F54" t="s">
        <v>184</v>
      </c>
      <c r="G54" t="s">
        <v>186</v>
      </c>
    </row>
    <row r="55" spans="1:7" ht="15" customHeight="1" x14ac:dyDescent="0.3">
      <c r="A55" s="16" t="s">
        <v>253</v>
      </c>
      <c r="C55" t="s">
        <v>167</v>
      </c>
      <c r="D55" t="s">
        <v>173</v>
      </c>
      <c r="E55" s="37">
        <v>30000</v>
      </c>
      <c r="F55" s="37">
        <v>15000</v>
      </c>
      <c r="G55" s="37">
        <v>20000</v>
      </c>
    </row>
    <row r="56" spans="1:7" ht="15" customHeight="1" x14ac:dyDescent="0.3">
      <c r="A56" s="16" t="s">
        <v>325</v>
      </c>
      <c r="C56" t="s">
        <v>167</v>
      </c>
      <c r="D56" t="s">
        <v>170</v>
      </c>
      <c r="E56" s="37">
        <v>25000</v>
      </c>
      <c r="F56" s="37">
        <v>80000</v>
      </c>
      <c r="G56" s="37">
        <v>120000</v>
      </c>
    </row>
    <row r="57" spans="1:7" ht="15" customHeight="1" x14ac:dyDescent="0.3">
      <c r="C57" t="s">
        <v>168</v>
      </c>
      <c r="D57" t="s">
        <v>174</v>
      </c>
      <c r="E57" s="37">
        <v>80000</v>
      </c>
      <c r="F57" s="37">
        <v>40000</v>
      </c>
      <c r="G57" s="37">
        <v>20000</v>
      </c>
    </row>
    <row r="58" spans="1:7" ht="15" customHeight="1" x14ac:dyDescent="0.3">
      <c r="C58" t="s">
        <v>168</v>
      </c>
      <c r="D58" t="s">
        <v>172</v>
      </c>
      <c r="E58" s="37">
        <v>90000</v>
      </c>
      <c r="F58" s="37">
        <v>35000</v>
      </c>
      <c r="G58" s="37">
        <v>25000</v>
      </c>
    </row>
    <row r="59" spans="1:7" ht="15" customHeight="1" x14ac:dyDescent="0.3">
      <c r="C59" t="s">
        <v>44</v>
      </c>
      <c r="D59" t="s">
        <v>45</v>
      </c>
      <c r="E59" s="37">
        <v>90000</v>
      </c>
      <c r="F59" s="37">
        <v>110000</v>
      </c>
      <c r="G59" s="37">
        <v>200000</v>
      </c>
    </row>
    <row r="60" spans="1:7" ht="15" customHeight="1" x14ac:dyDescent="0.3">
      <c r="C60" t="s">
        <v>44</v>
      </c>
      <c r="D60" t="s">
        <v>46</v>
      </c>
      <c r="E60" s="37">
        <v>75000</v>
      </c>
      <c r="F60" s="37">
        <v>82000</v>
      </c>
      <c r="G60" s="37">
        <v>150000</v>
      </c>
    </row>
    <row r="61" spans="1:7" ht="15" customHeight="1" x14ac:dyDescent="0.3">
      <c r="C61" t="s">
        <v>67</v>
      </c>
      <c r="D61" t="s">
        <v>171</v>
      </c>
      <c r="E61" s="37">
        <v>30000</v>
      </c>
      <c r="F61" s="37">
        <v>80000</v>
      </c>
      <c r="G61" s="37">
        <v>30000</v>
      </c>
    </row>
    <row r="62" spans="1:7" ht="15" customHeight="1" x14ac:dyDescent="0.3">
      <c r="C62" t="s">
        <v>67</v>
      </c>
      <c r="D62" t="s">
        <v>31</v>
      </c>
      <c r="E62" s="37">
        <v>10000</v>
      </c>
      <c r="F62" s="37">
        <v>30000</v>
      </c>
      <c r="G62" s="37">
        <v>40000</v>
      </c>
    </row>
    <row r="73" spans="1:1" ht="15" customHeight="1" x14ac:dyDescent="0.3">
      <c r="A73" s="16" t="s">
        <v>27</v>
      </c>
    </row>
    <row r="74" spans="1:1" ht="15" customHeight="1" x14ac:dyDescent="0.3">
      <c r="A74" s="16" t="s">
        <v>254</v>
      </c>
    </row>
    <row r="75" spans="1:1" ht="15" customHeight="1" x14ac:dyDescent="0.3">
      <c r="A75" s="16" t="s">
        <v>255</v>
      </c>
    </row>
    <row r="76" spans="1:1" ht="15" customHeight="1" x14ac:dyDescent="0.3">
      <c r="A76" s="16" t="s">
        <v>30</v>
      </c>
    </row>
  </sheetData>
  <hyperlinks>
    <hyperlink ref="A74" r:id="rId1" tooltip="Auswählen, um Informationen aus dem Web zum sofortigen Analysieren von Daten anzuzeigen" xr:uid="{00000000-0004-0000-0800-000000000000}"/>
    <hyperlink ref="A75" r:id="rId2" tooltip="Auswählen, um Informationen aus dem Web zum Analysieren von Daten mithilfe von Sparklines anzuzeigen" xr:uid="{00000000-0004-0000-0800-000001000000}"/>
  </hyperlinks>
  <pageMargins left="0.7" right="0.7" top="0.75" bottom="0.75" header="0.3" footer="0.3"/>
  <pageSetup paperSize="9"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3.88671875" customWidth="1"/>
    <col min="4" max="4" width="24.44140625" customWidth="1"/>
    <col min="5" max="5" width="23.88671875" customWidth="1"/>
    <col min="6" max="6" width="15.5546875" customWidth="1"/>
  </cols>
  <sheetData>
    <row r="1" spans="1:6" ht="60" customHeight="1" x14ac:dyDescent="0.3">
      <c r="A1" s="16" t="s">
        <v>256</v>
      </c>
    </row>
    <row r="2" spans="1:6" ht="15" customHeight="1" x14ac:dyDescent="0.3">
      <c r="A2" s="16" t="s">
        <v>257</v>
      </c>
    </row>
    <row r="3" spans="1:6" ht="15" customHeight="1" x14ac:dyDescent="0.3">
      <c r="A3" s="16" t="s">
        <v>258</v>
      </c>
    </row>
    <row r="4" spans="1:6" ht="15" customHeight="1" x14ac:dyDescent="0.3">
      <c r="A4" s="16" t="s">
        <v>259</v>
      </c>
    </row>
    <row r="5" spans="1:6" s="3" customFormat="1" ht="15" customHeight="1" x14ac:dyDescent="0.3">
      <c r="A5" s="16" t="s">
        <v>260</v>
      </c>
      <c r="B5"/>
      <c r="C5" t="s">
        <v>278</v>
      </c>
      <c r="D5" t="s">
        <v>279</v>
      </c>
      <c r="E5"/>
      <c r="F5"/>
    </row>
    <row r="6" spans="1:6" s="3" customFormat="1" ht="15" customHeight="1" x14ac:dyDescent="0.3">
      <c r="A6" s="16" t="s">
        <v>261</v>
      </c>
      <c r="B6"/>
      <c r="C6">
        <f ca="1">YEAR(TODAY())-5</f>
        <v>2019</v>
      </c>
      <c r="D6">
        <v>500</v>
      </c>
      <c r="E6"/>
      <c r="F6"/>
    </row>
    <row r="7" spans="1:6" s="3" customFormat="1" ht="15" customHeight="1" x14ac:dyDescent="0.3">
      <c r="A7" s="16" t="s">
        <v>262</v>
      </c>
      <c r="B7"/>
      <c r="C7">
        <f ca="1">YEAR(TODAY())-4</f>
        <v>2020</v>
      </c>
      <c r="D7">
        <v>800</v>
      </c>
      <c r="E7"/>
      <c r="F7"/>
    </row>
    <row r="8" spans="1:6" s="3" customFormat="1" ht="15" customHeight="1" x14ac:dyDescent="0.3">
      <c r="A8" s="16" t="s">
        <v>263</v>
      </c>
      <c r="B8"/>
      <c r="C8">
        <f ca="1">YEAR(TODAY())-3</f>
        <v>2021</v>
      </c>
      <c r="D8">
        <v>1000</v>
      </c>
      <c r="E8"/>
      <c r="F8"/>
    </row>
    <row r="9" spans="1:6" s="3" customFormat="1" ht="15" customHeight="1" x14ac:dyDescent="0.3">
      <c r="A9" s="47" t="s">
        <v>264</v>
      </c>
      <c r="B9"/>
      <c r="C9">
        <f ca="1">YEAR(TODAY())-2</f>
        <v>2022</v>
      </c>
      <c r="D9">
        <v>900</v>
      </c>
      <c r="E9"/>
      <c r="F9"/>
    </row>
    <row r="10" spans="1:6" s="3" customFormat="1" ht="15" customHeight="1" x14ac:dyDescent="0.3">
      <c r="A10" s="16" t="s">
        <v>331</v>
      </c>
      <c r="B10"/>
      <c r="C10">
        <f ca="1">YEAR(TODAY())-1</f>
        <v>2023</v>
      </c>
      <c r="D10">
        <v>1000</v>
      </c>
      <c r="E10"/>
      <c r="F10"/>
    </row>
    <row r="11" spans="1:6" s="3" customFormat="1" ht="15" customHeight="1" x14ac:dyDescent="0.3">
      <c r="A11" s="16"/>
      <c r="B11"/>
      <c r="C11">
        <f ca="1">YEAR(TODAY())</f>
        <v>2024</v>
      </c>
      <c r="D11">
        <v>1200</v>
      </c>
      <c r="E11"/>
      <c r="F11"/>
    </row>
    <row r="12" spans="1:6" s="3" customFormat="1" ht="15" customHeight="1" x14ac:dyDescent="0.3">
      <c r="A12" s="16"/>
      <c r="B12"/>
      <c r="C12"/>
      <c r="D12"/>
      <c r="E12"/>
      <c r="F12"/>
    </row>
    <row r="13" spans="1:6" s="3" customFormat="1" ht="15" customHeight="1" x14ac:dyDescent="0.3">
      <c r="A13" s="16"/>
      <c r="B13"/>
      <c r="C13"/>
      <c r="D13"/>
      <c r="E13"/>
      <c r="F13"/>
    </row>
    <row r="14" spans="1:6" s="3" customFormat="1" ht="15" customHeight="1" x14ac:dyDescent="0.3">
      <c r="A14" s="16"/>
      <c r="B14"/>
      <c r="C14"/>
      <c r="D14"/>
      <c r="E14"/>
      <c r="F14"/>
    </row>
    <row r="15" spans="1:6" s="3" customFormat="1" ht="15" customHeight="1" x14ac:dyDescent="0.3">
      <c r="A15" s="16"/>
      <c r="B15"/>
      <c r="C15"/>
      <c r="D15"/>
      <c r="E15"/>
      <c r="F15"/>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8" spans="1:6" ht="15" customHeight="1" x14ac:dyDescent="0.3">
      <c r="A28" s="16" t="s">
        <v>265</v>
      </c>
    </row>
    <row r="29" spans="1:6" ht="15" customHeight="1" x14ac:dyDescent="0.3">
      <c r="A29" s="16" t="s">
        <v>266</v>
      </c>
    </row>
    <row r="30" spans="1:6" ht="15" customHeight="1" x14ac:dyDescent="0.3">
      <c r="A30" s="16" t="s">
        <v>267</v>
      </c>
    </row>
    <row r="31" spans="1:6" ht="15" customHeight="1" x14ac:dyDescent="0.3">
      <c r="A31" s="16" t="s">
        <v>268</v>
      </c>
    </row>
    <row r="32" spans="1:6" ht="15" customHeight="1" x14ac:dyDescent="0.3">
      <c r="A32" s="16" t="s">
        <v>269</v>
      </c>
    </row>
    <row r="33" spans="1:1" ht="15" customHeight="1" x14ac:dyDescent="0.3">
      <c r="A33" s="16" t="s">
        <v>270</v>
      </c>
    </row>
    <row r="34" spans="1:1" ht="15" customHeight="1" x14ac:dyDescent="0.3">
      <c r="A34" s="16" t="s">
        <v>271</v>
      </c>
    </row>
    <row r="35" spans="1:1" ht="15" customHeight="1" x14ac:dyDescent="0.3">
      <c r="A35" s="16" t="s">
        <v>272</v>
      </c>
    </row>
    <row r="36" spans="1:1" ht="15" customHeight="1" x14ac:dyDescent="0.3">
      <c r="A36" s="16" t="s">
        <v>273</v>
      </c>
    </row>
    <row r="52" spans="1:1" ht="15" customHeight="1" x14ac:dyDescent="0.3">
      <c r="A52" s="16" t="s">
        <v>274</v>
      </c>
    </row>
    <row r="53" spans="1:1" ht="15" customHeight="1" x14ac:dyDescent="0.3">
      <c r="A53" s="16" t="s">
        <v>275</v>
      </c>
    </row>
    <row r="54" spans="1:1" ht="15" customHeight="1" x14ac:dyDescent="0.3">
      <c r="A54" s="16" t="s">
        <v>378</v>
      </c>
    </row>
    <row r="55" spans="1:1" ht="15" customHeight="1" x14ac:dyDescent="0.3">
      <c r="A55" s="16" t="s">
        <v>345</v>
      </c>
    </row>
    <row r="56" spans="1:1" ht="15" customHeight="1" x14ac:dyDescent="0.3">
      <c r="A56" s="47" t="s">
        <v>346</v>
      </c>
    </row>
    <row r="57" spans="1:1" ht="15" customHeight="1" x14ac:dyDescent="0.3">
      <c r="A57" s="16" t="s">
        <v>332</v>
      </c>
    </row>
    <row r="67" spans="1:6" ht="15" customHeight="1" x14ac:dyDescent="0.3">
      <c r="D67" s="9" t="s">
        <v>280</v>
      </c>
      <c r="E67" s="9" t="s">
        <v>279</v>
      </c>
      <c r="F67" s="9" t="s">
        <v>347</v>
      </c>
    </row>
    <row r="68" spans="1:6" ht="15" customHeight="1" x14ac:dyDescent="0.3">
      <c r="D68">
        <f ca="1">YEAR(TODAY())-5</f>
        <v>2019</v>
      </c>
      <c r="E68" s="5">
        <v>500</v>
      </c>
      <c r="F68" s="39">
        <v>5000</v>
      </c>
    </row>
    <row r="69" spans="1:6" ht="15" customHeight="1" x14ac:dyDescent="0.3">
      <c r="D69">
        <f ca="1">YEAR(TODAY())-4</f>
        <v>2020</v>
      </c>
      <c r="E69">
        <v>800</v>
      </c>
      <c r="F69" s="38">
        <v>11200</v>
      </c>
    </row>
    <row r="70" spans="1:6" ht="15" customHeight="1" x14ac:dyDescent="0.3">
      <c r="A70" s="16" t="s">
        <v>27</v>
      </c>
      <c r="D70">
        <f ca="1">YEAR(TODAY())-3</f>
        <v>2021</v>
      </c>
      <c r="E70" s="5">
        <v>1000</v>
      </c>
      <c r="F70" s="39">
        <v>30000</v>
      </c>
    </row>
    <row r="71" spans="1:6" ht="15" customHeight="1" x14ac:dyDescent="0.3">
      <c r="A71" s="16" t="s">
        <v>333</v>
      </c>
      <c r="D71">
        <f ca="1">YEAR(TODAY())-2</f>
        <v>2022</v>
      </c>
      <c r="E71">
        <v>900</v>
      </c>
      <c r="F71" s="38">
        <v>25000</v>
      </c>
    </row>
    <row r="72" spans="1:6" ht="15" customHeight="1" x14ac:dyDescent="0.3">
      <c r="A72" s="16" t="s">
        <v>276</v>
      </c>
      <c r="D72">
        <f ca="1">YEAR(TODAY())-1</f>
        <v>2023</v>
      </c>
      <c r="E72" s="5">
        <v>1000</v>
      </c>
      <c r="F72" s="39">
        <v>5000</v>
      </c>
    </row>
    <row r="73" spans="1:6" ht="15" customHeight="1" x14ac:dyDescent="0.3">
      <c r="A73" s="16" t="s">
        <v>277</v>
      </c>
      <c r="D73">
        <f ca="1">YEAR(TODAY())</f>
        <v>2024</v>
      </c>
      <c r="E73">
        <v>1200</v>
      </c>
      <c r="F73" s="38">
        <v>8000</v>
      </c>
    </row>
    <row r="74" spans="1:6" ht="15" customHeight="1" x14ac:dyDescent="0.3">
      <c r="A74" s="16" t="s">
        <v>30</v>
      </c>
    </row>
  </sheetData>
  <hyperlinks>
    <hyperlink ref="A73" r:id="rId1" tooltip="Auswählen, um weitere Informationen im Web zu den verfügbaren Diagrammtypen in Office anzuzeigen" xr:uid="{00000000-0004-0000-0900-000000000000}"/>
    <hyperlink ref="A72" r:id="rId2" tooltip="Auswählen, um Informationen im Web zum Erstellen eines Verbunddiagramms mit einer sekundären Achse anzuzeigen" xr:uid="{00000000-0004-0000-0900-000001000000}"/>
    <hyperlink ref="A71" r:id="rId3" tooltip="Auswählen, um Informationen im Web zum Erstellen eines Diagramms von Anfang bis Ende anzuzeigen" display="Erstellen eines Diagramms von Anfang bis Ende" xr:uid="{00000000-0004-0000-0900-000002000000}"/>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61"/>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2.88671875" customWidth="1"/>
    <col min="4" max="4" width="14" customWidth="1"/>
    <col min="5" max="5" width="13.109375" bestFit="1" customWidth="1"/>
    <col min="6" max="6" width="17.88671875" bestFit="1" customWidth="1"/>
  </cols>
  <sheetData>
    <row r="1" spans="1:7" ht="60" customHeight="1" x14ac:dyDescent="0.3">
      <c r="A1" s="16" t="s">
        <v>281</v>
      </c>
    </row>
    <row r="2" spans="1:7" ht="15" customHeight="1" x14ac:dyDescent="0.3">
      <c r="A2" s="16" t="s">
        <v>282</v>
      </c>
    </row>
    <row r="3" spans="1:7" ht="15" customHeight="1" x14ac:dyDescent="0.3">
      <c r="A3" s="16" t="s">
        <v>283</v>
      </c>
      <c r="C3" t="s">
        <v>280</v>
      </c>
      <c r="D3" t="s">
        <v>298</v>
      </c>
      <c r="E3" t="s">
        <v>74</v>
      </c>
      <c r="F3" t="s">
        <v>43</v>
      </c>
    </row>
    <row r="4" spans="1:7" ht="15" customHeight="1" x14ac:dyDescent="0.3">
      <c r="A4" s="16" t="s">
        <v>284</v>
      </c>
      <c r="C4" s="54">
        <f ca="1">TODAY()-57</f>
        <v>45524</v>
      </c>
      <c r="D4" t="s">
        <v>299</v>
      </c>
      <c r="E4" t="s">
        <v>301</v>
      </c>
      <c r="F4" s="40">
        <v>1400</v>
      </c>
    </row>
    <row r="5" spans="1:7" s="3" customFormat="1" ht="15" customHeight="1" x14ac:dyDescent="0.3">
      <c r="A5" s="16" t="s">
        <v>285</v>
      </c>
      <c r="B5"/>
      <c r="C5" s="54">
        <f ca="1">TODAY()-52</f>
        <v>45529</v>
      </c>
      <c r="D5" t="s">
        <v>177</v>
      </c>
      <c r="E5" t="s">
        <v>302</v>
      </c>
      <c r="F5" s="40">
        <v>1010</v>
      </c>
    </row>
    <row r="6" spans="1:7" s="3" customFormat="1" ht="15" customHeight="1" x14ac:dyDescent="0.3">
      <c r="A6" s="16" t="s">
        <v>379</v>
      </c>
      <c r="B6"/>
      <c r="C6" s="54">
        <f ca="1">TODAY()-35</f>
        <v>45546</v>
      </c>
      <c r="D6" t="s">
        <v>299</v>
      </c>
      <c r="E6" t="s">
        <v>301</v>
      </c>
      <c r="F6" s="40">
        <v>750</v>
      </c>
    </row>
    <row r="7" spans="1:7" s="3" customFormat="1" ht="15" customHeight="1" x14ac:dyDescent="0.3">
      <c r="A7" s="16" t="s">
        <v>286</v>
      </c>
      <c r="B7"/>
      <c r="C7" s="54">
        <f ca="1">TODAY()-31</f>
        <v>45550</v>
      </c>
      <c r="D7" t="s">
        <v>177</v>
      </c>
      <c r="E7" t="s">
        <v>303</v>
      </c>
      <c r="F7" s="40">
        <v>510</v>
      </c>
    </row>
    <row r="8" spans="1:7" s="3" customFormat="1" ht="15" customHeight="1" x14ac:dyDescent="0.3">
      <c r="A8" s="16" t="s">
        <v>12</v>
      </c>
      <c r="B8"/>
      <c r="C8" s="54">
        <f ca="1">TODAY()-11</f>
        <v>45570</v>
      </c>
      <c r="D8" t="s">
        <v>300</v>
      </c>
      <c r="E8" t="s">
        <v>303</v>
      </c>
      <c r="F8" s="40">
        <v>1600</v>
      </c>
    </row>
    <row r="9" spans="1:7" s="3" customFormat="1" ht="15" customHeight="1" x14ac:dyDescent="0.3">
      <c r="A9" s="16"/>
      <c r="B9"/>
      <c r="C9" s="54">
        <f ca="1">TODAY()</f>
        <v>45581</v>
      </c>
      <c r="D9" t="s">
        <v>181</v>
      </c>
      <c r="E9" t="s">
        <v>302</v>
      </c>
      <c r="F9" s="40">
        <v>680</v>
      </c>
    </row>
    <row r="10" spans="1:7" s="3" customFormat="1" ht="15" customHeight="1" x14ac:dyDescent="0.3">
      <c r="A10" s="16"/>
      <c r="B10"/>
      <c r="C10" s="54"/>
      <c r="D10"/>
      <c r="E10"/>
      <c r="F10"/>
    </row>
    <row r="11" spans="1:7" s="3" customFormat="1" ht="15" customHeight="1" x14ac:dyDescent="0.3">
      <c r="A11" s="16"/>
      <c r="B11"/>
      <c r="E11" s="12" t="s">
        <v>311</v>
      </c>
      <c r="F11" t="s">
        <v>373</v>
      </c>
      <c r="G11"/>
    </row>
    <row r="12" spans="1:7" s="3" customFormat="1" ht="15" customHeight="1" x14ac:dyDescent="0.3">
      <c r="A12" s="16"/>
      <c r="B12"/>
      <c r="E12" s="3" t="s">
        <v>301</v>
      </c>
      <c r="F12" s="50">
        <v>2150</v>
      </c>
      <c r="G12"/>
    </row>
    <row r="13" spans="1:7" s="3" customFormat="1" ht="15" customHeight="1" x14ac:dyDescent="0.3">
      <c r="A13" s="16"/>
      <c r="B13"/>
      <c r="E13" s="3" t="s">
        <v>303</v>
      </c>
      <c r="F13" s="50">
        <v>2110</v>
      </c>
      <c r="G13"/>
    </row>
    <row r="14" spans="1:7" s="3" customFormat="1" ht="15" customHeight="1" x14ac:dyDescent="0.3">
      <c r="A14" s="16"/>
      <c r="B14"/>
      <c r="E14" s="3" t="s">
        <v>302</v>
      </c>
      <c r="F14" s="50">
        <v>1690</v>
      </c>
      <c r="G14"/>
    </row>
    <row r="15" spans="1:7" s="3" customFormat="1" ht="15" customHeight="1" x14ac:dyDescent="0.3">
      <c r="A15" s="16"/>
      <c r="B15"/>
      <c r="E15" s="3" t="s">
        <v>312</v>
      </c>
      <c r="F15" s="50">
        <v>5950</v>
      </c>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c r="C22"/>
      <c r="D22"/>
      <c r="E22"/>
      <c r="F22"/>
      <c r="G22"/>
    </row>
    <row r="23" spans="1:7" s="3" customFormat="1" ht="15" customHeight="1" x14ac:dyDescent="0.3">
      <c r="A23" s="16"/>
      <c r="B23"/>
      <c r="C23"/>
      <c r="D23"/>
      <c r="E23"/>
      <c r="F23"/>
      <c r="G23"/>
    </row>
    <row r="24" spans="1:7" s="3" customFormat="1" ht="15" customHeight="1" x14ac:dyDescent="0.3">
      <c r="A24" s="16"/>
      <c r="B24"/>
      <c r="C24"/>
      <c r="D24"/>
      <c r="E24"/>
      <c r="F24"/>
      <c r="G24"/>
    </row>
    <row r="27" spans="1:7" ht="15" customHeight="1" x14ac:dyDescent="0.3">
      <c r="A27" s="16" t="s">
        <v>287</v>
      </c>
    </row>
    <row r="28" spans="1:7" ht="15" customHeight="1" x14ac:dyDescent="0.3">
      <c r="A28" s="16" t="s">
        <v>288</v>
      </c>
    </row>
    <row r="29" spans="1:7" ht="15" customHeight="1" x14ac:dyDescent="0.3">
      <c r="A29" s="16" t="s">
        <v>289</v>
      </c>
    </row>
    <row r="30" spans="1:7" ht="15" customHeight="1" x14ac:dyDescent="0.3">
      <c r="A30" s="16" t="s">
        <v>290</v>
      </c>
    </row>
    <row r="31" spans="1:7" ht="15" customHeight="1" x14ac:dyDescent="0.3">
      <c r="A31" s="16" t="s">
        <v>291</v>
      </c>
    </row>
    <row r="32" spans="1:7" ht="15" customHeight="1" x14ac:dyDescent="0.3">
      <c r="A32" s="16" t="s">
        <v>292</v>
      </c>
    </row>
    <row r="33" spans="1:6" ht="15" customHeight="1" x14ac:dyDescent="0.3">
      <c r="A33" s="47" t="s">
        <v>293</v>
      </c>
    </row>
    <row r="34" spans="1:6" ht="15" customHeight="1" x14ac:dyDescent="0.3">
      <c r="A34" s="47" t="s">
        <v>294</v>
      </c>
      <c r="C34" t="s">
        <v>280</v>
      </c>
      <c r="D34" t="s">
        <v>298</v>
      </c>
      <c r="E34" t="s">
        <v>74</v>
      </c>
      <c r="F34" t="s">
        <v>43</v>
      </c>
    </row>
    <row r="35" spans="1:6" ht="15" customHeight="1" x14ac:dyDescent="0.3">
      <c r="A35" s="16" t="s">
        <v>295</v>
      </c>
      <c r="C35" s="54">
        <f ca="1">TODAY()-57</f>
        <v>45524</v>
      </c>
      <c r="D35" t="s">
        <v>299</v>
      </c>
      <c r="E35" t="s">
        <v>301</v>
      </c>
      <c r="F35" s="40">
        <v>1400</v>
      </c>
    </row>
    <row r="36" spans="1:6" ht="15" customHeight="1" x14ac:dyDescent="0.3">
      <c r="A36" s="16" t="s">
        <v>296</v>
      </c>
      <c r="C36" s="54">
        <f ca="1">TODAY()-52</f>
        <v>45529</v>
      </c>
      <c r="D36" t="s">
        <v>177</v>
      </c>
      <c r="E36" t="s">
        <v>302</v>
      </c>
      <c r="F36" s="40">
        <v>1010</v>
      </c>
    </row>
    <row r="37" spans="1:6" ht="15" customHeight="1" x14ac:dyDescent="0.3">
      <c r="C37" s="54">
        <f ca="1">TODAY()-35</f>
        <v>45546</v>
      </c>
      <c r="D37" t="s">
        <v>299</v>
      </c>
      <c r="E37" t="s">
        <v>301</v>
      </c>
      <c r="F37" s="40">
        <v>750</v>
      </c>
    </row>
    <row r="38" spans="1:6" ht="15" customHeight="1" x14ac:dyDescent="0.3">
      <c r="C38" s="54">
        <f ca="1">TODAY()-31</f>
        <v>45550</v>
      </c>
      <c r="D38" t="s">
        <v>177</v>
      </c>
      <c r="E38" t="s">
        <v>303</v>
      </c>
      <c r="F38" s="40">
        <v>510</v>
      </c>
    </row>
    <row r="39" spans="1:6" ht="15" customHeight="1" x14ac:dyDescent="0.3">
      <c r="C39" s="54">
        <f ca="1">TODAY()-11</f>
        <v>45570</v>
      </c>
      <c r="D39" t="s">
        <v>300</v>
      </c>
      <c r="E39" t="s">
        <v>303</v>
      </c>
      <c r="F39" s="40">
        <v>1600</v>
      </c>
    </row>
    <row r="40" spans="1:6" ht="15" customHeight="1" x14ac:dyDescent="0.3">
      <c r="C40" s="54">
        <f ca="1">TODAY()</f>
        <v>45581</v>
      </c>
      <c r="D40" t="s">
        <v>181</v>
      </c>
      <c r="E40" t="s">
        <v>302</v>
      </c>
      <c r="F40" s="40">
        <v>680</v>
      </c>
    </row>
    <row r="58" spans="1:1" ht="15" customHeight="1" x14ac:dyDescent="0.3">
      <c r="A58" s="16" t="s">
        <v>27</v>
      </c>
    </row>
    <row r="59" spans="1:1" ht="15" customHeight="1" x14ac:dyDescent="0.3">
      <c r="A59" s="16" t="s">
        <v>297</v>
      </c>
    </row>
    <row r="60" spans="1:1" ht="15" customHeight="1" x14ac:dyDescent="0.3">
      <c r="A60" s="16" t="s">
        <v>334</v>
      </c>
    </row>
    <row r="61" spans="1:1" ht="15" customHeight="1" x14ac:dyDescent="0.3">
      <c r="A61" s="16" t="s">
        <v>30</v>
      </c>
    </row>
  </sheetData>
  <hyperlinks>
    <hyperlink ref="A60" r:id="rId2" tooltip="Auswählen, um Informationen aus dem Web zum Verwenden der Feldliste zum Anordnen der Felder in einer PivotTable anzuzeigen" display="Verwenden der Feldliste zum Anordnen von Feldern in einer PivotTable" xr:uid="{00000000-0004-0000-0A00-000000000000}"/>
    <hyperlink ref="A59" r:id="rId3" tooltip="Auswählen, um das Erstellen einer PivotTable mit Informationen aus dem Web zu erlernen, um Arbeitsblattdaten zu analysieren" xr:uid="{00000000-0004-0000-0A00-000001000000}"/>
  </hyperlinks>
  <pageMargins left="0.7" right="0.7" top="0.75" bottom="0.75" header="0.3" footer="0.3"/>
  <pageSetup paperSize="9"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6"/>
  <sheetViews>
    <sheetView showGridLines="0" zoomScaleNormal="100" workbookViewId="0"/>
  </sheetViews>
  <sheetFormatPr baseColWidth="10" defaultColWidth="8.88671875" defaultRowHeight="15" customHeight="1" x14ac:dyDescent="0.3"/>
  <cols>
    <col min="1" max="1" width="8.88671875" style="16"/>
    <col min="2" max="2" width="95.109375" customWidth="1"/>
  </cols>
  <sheetData>
    <row r="1" spans="1:2" ht="60" customHeight="1" x14ac:dyDescent="0.3">
      <c r="A1" s="16" t="s">
        <v>304</v>
      </c>
    </row>
    <row r="2" spans="1:2" s="13" customFormat="1" ht="15" customHeight="1" x14ac:dyDescent="0.45">
      <c r="A2" s="16" t="s">
        <v>305</v>
      </c>
      <c r="B2"/>
    </row>
    <row r="3" spans="1:2" s="13" customFormat="1" ht="15" customHeight="1" x14ac:dyDescent="0.45">
      <c r="A3" s="16" t="s">
        <v>306</v>
      </c>
      <c r="B3"/>
    </row>
    <row r="4" spans="1:2" s="14" customFormat="1" ht="15" customHeight="1" x14ac:dyDescent="0.75">
      <c r="A4" s="16" t="s">
        <v>307</v>
      </c>
      <c r="B4"/>
    </row>
    <row r="5" spans="1:2" s="15" customFormat="1" ht="15" customHeight="1" x14ac:dyDescent="0.3">
      <c r="A5" s="16" t="s">
        <v>308</v>
      </c>
      <c r="B5"/>
    </row>
    <row r="6" spans="1:2" s="15" customFormat="1" ht="15" customHeight="1" x14ac:dyDescent="0.3">
      <c r="A6" s="47" t="s">
        <v>309</v>
      </c>
      <c r="B6"/>
    </row>
  </sheetData>
  <hyperlinks>
    <hyperlink ref="A4" r:id="rId1" tooltip="Auswählen, um weitere Informationen zu LinkedIn Learning anzuzeigen" display="https://learning.linkedin.com/de-de/office?trk=par_acq_MSFThelp-excel-tc_de-template-learnmoretab-t001-link_learning&amp;src=mi-inprod&amp;veh=excel-help&amp;utm_source=microsoft&amp;utm_medium=help-integration&amp;utm_campaign=par_acq_MSFThelp-excel-tc_de-template-learnmoretab-t001-link_learning" xr:uid="{00000000-0004-0000-0B00-000000000000}"/>
    <hyperlink ref="A5" r:id="rId2" tooltip="Auswählen, um weitere Informationen zur Community anzuzeigen" display="http://go.microsoft.com/fwlink/?LinkId=844969" xr:uid="{00000000-0004-0000-0B00-000001000000}"/>
    <hyperlink ref="A6" r:id="rId3" tooltip="Auswählen, um weitere Informationen zu sonstigen Neuigkeiten anzuzeigen" display="http://go.microsoft.com/fwlink/?LinkId=846286" xr:uid="{00000000-0004-0000-0B00-000002000000}"/>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Template>TM10000137</Template>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11</vt:i4>
      </vt:variant>
    </vt:vector>
  </HeadingPairs>
  <TitlesOfParts>
    <vt:vector size="23" baseType="lpstr">
      <vt:lpstr>Starten</vt:lpstr>
      <vt:lpstr>1. Hinzufügen</vt:lpstr>
      <vt:lpstr>2. Ausfüllen</vt:lpstr>
      <vt:lpstr>3. Teilen</vt:lpstr>
      <vt:lpstr>4. Transponieren</vt:lpstr>
      <vt:lpstr>5. Sortieren und Filtern</vt:lpstr>
      <vt:lpstr>6. Tabellen</vt:lpstr>
      <vt:lpstr>7. Dropdownlisten</vt:lpstr>
      <vt:lpstr>8. Analysieren</vt:lpstr>
      <vt:lpstr>9. Diagramme</vt:lpstr>
      <vt:lpstr>10. PivotTables</vt:lpstr>
      <vt:lpstr>Weitere Informationen</vt:lpstr>
      <vt:lpstr>Artikel</vt:lpstr>
      <vt:lpstr>BonusAufgabe</vt:lpstr>
      <vt:lpstr>Fleisch</vt:lpstr>
      <vt:lpstr>Gesamtsumme</vt:lpstr>
      <vt:lpstr>MehrArtikel</vt:lpstr>
      <vt:lpstr>MehrArtikel1</vt:lpstr>
      <vt:lpstr>MehrObst</vt:lpstr>
      <vt:lpstr>Obst</vt:lpstr>
      <vt:lpstr>SUMMEExtraGuthaben</vt:lpstr>
      <vt:lpstr>SUMMEWENN</vt:lpstr>
      <vt:lpstr>SUMMEWENNBonusAufgabe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2024-10-16T12:54:20Z</dcterms:modified>
  <cp:version/>
</cp:coreProperties>
</file>