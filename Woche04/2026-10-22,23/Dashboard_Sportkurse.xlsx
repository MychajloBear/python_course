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d.docs.live.net/18c4d841d4848db5/Desktop/DSI_DataSciense_Inhalt/Python/Wo4_Python/Wo4_Tag4_MonatsProjekt_Sportkurse/"/>
    </mc:Choice>
  </mc:AlternateContent>
  <xr:revisionPtr revIDLastSave="15" documentId="122_{A0D5E0BA-ABC3-47A5-88E4-826ECD5CEBAB}" xr6:coauthVersionLast="47" xr6:coauthVersionMax="47" xr10:uidLastSave="{E418FDD2-DFB6-4ADC-92C2-D0240EA322D8}"/>
  <bookViews>
    <workbookView xWindow="-98" yWindow="-98" windowWidth="20715" windowHeight="13155" tabRatio="990" activeTab="2" xr2:uid="{F07FEFCC-CB96-4186-821D-93BE82E9290E}"/>
  </bookViews>
  <sheets>
    <sheet name="Pivot" sheetId="4" r:id="rId1"/>
    <sheet name="buchungen_rohdaten" sheetId="9" r:id="rId2"/>
    <sheet name="Dashboard" sheetId="1" r:id="rId3"/>
  </sheets>
  <definedNames>
    <definedName name="Datenschnitt_Alter">#N/A</definedName>
    <definedName name="Datenschnitt_Monate__Datum">#N/A</definedName>
    <definedName name="Datenschnitt_Sportart">#N/A</definedName>
    <definedName name="ExterneDaten_1" localSheetId="1" hidden="1">buchungen_rohdaten!$A$1:$H$401</definedName>
  </definedNames>
  <calcPr calcId="191029"/>
  <pivotCaches>
    <pivotCache cacheId="8"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H40" i="1"/>
  <c r="E40" i="1"/>
  <c r="D40" i="1" s="1"/>
  <c r="E39" i="1"/>
  <c r="D3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96AEF4-0E77-4C29-9B17-61E3B1E1C620}" keepAlive="1" name="Abfrage - buchungen_rohdaten (2)" description="Verbindung mit der Abfrage 'buchungen_rohdaten (2)' in der Arbeitsmappe." type="5" refreshedVersion="8" background="1" saveData="1">
    <dbPr connection="Provider=Microsoft.Mashup.OleDb.1;Data Source=$Workbook$;Location=&quot;buchungen_rohdaten (2)&quot;;Extended Properties=&quot;&quot;" command="SELECT * FROM [buchungen_rohdaten (2)]"/>
  </connection>
</connections>
</file>

<file path=xl/sharedStrings.xml><?xml version="1.0" encoding="utf-8"?>
<sst xmlns="http://schemas.openxmlformats.org/spreadsheetml/2006/main" count="1290" uniqueCount="569">
  <si>
    <t>Datum</t>
  </si>
  <si>
    <t>BuchungsID</t>
  </si>
  <si>
    <t>Sportart</t>
  </si>
  <si>
    <t>Einzelpreis</t>
  </si>
  <si>
    <t>Gesamtpreis</t>
  </si>
  <si>
    <t>MitgliedsNr</t>
  </si>
  <si>
    <t>Handball</t>
  </si>
  <si>
    <t/>
  </si>
  <si>
    <t>Walking</t>
  </si>
  <si>
    <t>Cheerleading</t>
  </si>
  <si>
    <t>Groupfitness</t>
  </si>
  <si>
    <t>Tricking</t>
  </si>
  <si>
    <t>Tischkicker</t>
  </si>
  <si>
    <t>Tanz</t>
  </si>
  <si>
    <t>Tennis</t>
  </si>
  <si>
    <t>Karate</t>
  </si>
  <si>
    <t>Wandern</t>
  </si>
  <si>
    <t>Turnen</t>
  </si>
  <si>
    <t>Fechten</t>
  </si>
  <si>
    <t>Triathlon</t>
  </si>
  <si>
    <t>Badminton</t>
  </si>
  <si>
    <t>Yoga</t>
  </si>
  <si>
    <t>Padel-Tennis</t>
  </si>
  <si>
    <t>Parkour</t>
  </si>
  <si>
    <t>Hockey</t>
  </si>
  <si>
    <t>Bogensport</t>
  </si>
  <si>
    <t>Leichtathletik</t>
  </si>
  <si>
    <t>Basketball</t>
  </si>
  <si>
    <t>Zeilenbeschriftungen</t>
  </si>
  <si>
    <t>Gesamtergebnis</t>
  </si>
  <si>
    <t>Jan</t>
  </si>
  <si>
    <t>Feb</t>
  </si>
  <si>
    <t>Mrz</t>
  </si>
  <si>
    <t>Apr</t>
  </si>
  <si>
    <t>Mai</t>
  </si>
  <si>
    <t>Jun</t>
  </si>
  <si>
    <t>Jul</t>
  </si>
  <si>
    <t>Aug</t>
  </si>
  <si>
    <t>Sep</t>
  </si>
  <si>
    <t>Summe von Gesamtpreis</t>
  </si>
  <si>
    <t>Umsatz nach Monaten</t>
  </si>
  <si>
    <t>Alter</t>
  </si>
  <si>
    <t>Ermäßigung</t>
  </si>
  <si>
    <t>B0001</t>
  </si>
  <si>
    <t>B0002</t>
  </si>
  <si>
    <t>M1027</t>
  </si>
  <si>
    <t>B0003</t>
  </si>
  <si>
    <t>M1008</t>
  </si>
  <si>
    <t>B0004</t>
  </si>
  <si>
    <t>B0005</t>
  </si>
  <si>
    <t>B0006</t>
  </si>
  <si>
    <t>M1115</t>
  </si>
  <si>
    <t>B0007</t>
  </si>
  <si>
    <t>B0008</t>
  </si>
  <si>
    <t>M1040</t>
  </si>
  <si>
    <t>B0009</t>
  </si>
  <si>
    <t>M1098</t>
  </si>
  <si>
    <t>B0010</t>
  </si>
  <si>
    <t>B0011</t>
  </si>
  <si>
    <t>B0012</t>
  </si>
  <si>
    <t>B0013</t>
  </si>
  <si>
    <t>B0014</t>
  </si>
  <si>
    <t>B0015</t>
  </si>
  <si>
    <t>M1026</t>
  </si>
  <si>
    <t>B0016</t>
  </si>
  <si>
    <t>B0017</t>
  </si>
  <si>
    <t>M1054</t>
  </si>
  <si>
    <t>B0018</t>
  </si>
  <si>
    <t>B0019</t>
  </si>
  <si>
    <t>M1070</t>
  </si>
  <si>
    <t>B0020</t>
  </si>
  <si>
    <t>B0021</t>
  </si>
  <si>
    <t>M1081</t>
  </si>
  <si>
    <t>B0022</t>
  </si>
  <si>
    <t>M1146</t>
  </si>
  <si>
    <t>B0023</t>
  </si>
  <si>
    <t>M1118</t>
  </si>
  <si>
    <t>B0024</t>
  </si>
  <si>
    <t>M1144</t>
  </si>
  <si>
    <t>B0025</t>
  </si>
  <si>
    <t>B0026</t>
  </si>
  <si>
    <t>M1131</t>
  </si>
  <si>
    <t>B0027</t>
  </si>
  <si>
    <t>B0028</t>
  </si>
  <si>
    <t>B0029</t>
  </si>
  <si>
    <t>B0030</t>
  </si>
  <si>
    <t>B0031</t>
  </si>
  <si>
    <t>B0032</t>
  </si>
  <si>
    <t>M1112</t>
  </si>
  <si>
    <t>B0033</t>
  </si>
  <si>
    <t>B0034</t>
  </si>
  <si>
    <t>B0035</t>
  </si>
  <si>
    <t>B0036</t>
  </si>
  <si>
    <t>B0037</t>
  </si>
  <si>
    <t>M1083</t>
  </si>
  <si>
    <t>B0038</t>
  </si>
  <si>
    <t>M1079</t>
  </si>
  <si>
    <t>B0039</t>
  </si>
  <si>
    <t>B0040</t>
  </si>
  <si>
    <t>M1137</t>
  </si>
  <si>
    <t>B0041</t>
  </si>
  <si>
    <t>B0042</t>
  </si>
  <si>
    <t>B0043</t>
  </si>
  <si>
    <t>B0044</t>
  </si>
  <si>
    <t>M1133</t>
  </si>
  <si>
    <t>B0045</t>
  </si>
  <si>
    <t>M1017</t>
  </si>
  <si>
    <t>B0046</t>
  </si>
  <si>
    <t>B0047</t>
  </si>
  <si>
    <t>B0048</t>
  </si>
  <si>
    <t>M1009</t>
  </si>
  <si>
    <t>B0049</t>
  </si>
  <si>
    <t>M1072</t>
  </si>
  <si>
    <t>B0050</t>
  </si>
  <si>
    <t>B0051</t>
  </si>
  <si>
    <t>M1122</t>
  </si>
  <si>
    <t>B0052</t>
  </si>
  <si>
    <t>M1111</t>
  </si>
  <si>
    <t>B0053</t>
  </si>
  <si>
    <t>M1014</t>
  </si>
  <si>
    <t>B0054</t>
  </si>
  <si>
    <t>M1087</t>
  </si>
  <si>
    <t>B0055</t>
  </si>
  <si>
    <t>M1138</t>
  </si>
  <si>
    <t>B0056</t>
  </si>
  <si>
    <t>B0057</t>
  </si>
  <si>
    <t>M1141</t>
  </si>
  <si>
    <t>B0058</t>
  </si>
  <si>
    <t>M1061</t>
  </si>
  <si>
    <t>B0059</t>
  </si>
  <si>
    <t>B0060</t>
  </si>
  <si>
    <t>B0061</t>
  </si>
  <si>
    <t>M1074</t>
  </si>
  <si>
    <t>B0062</t>
  </si>
  <si>
    <t>M1049</t>
  </si>
  <si>
    <t>B0063</t>
  </si>
  <si>
    <t>B0064</t>
  </si>
  <si>
    <t>M1013</t>
  </si>
  <si>
    <t>B0065</t>
  </si>
  <si>
    <t>B0066</t>
  </si>
  <si>
    <t>M1048</t>
  </si>
  <si>
    <t>B0067</t>
  </si>
  <si>
    <t>B0068</t>
  </si>
  <si>
    <t>B0069</t>
  </si>
  <si>
    <t>B0070</t>
  </si>
  <si>
    <t>M1067</t>
  </si>
  <si>
    <t>B0071</t>
  </si>
  <si>
    <t>M1102</t>
  </si>
  <si>
    <t>B0072</t>
  </si>
  <si>
    <t>M1019</t>
  </si>
  <si>
    <t>B0073</t>
  </si>
  <si>
    <t>B0074</t>
  </si>
  <si>
    <t>M1090</t>
  </si>
  <si>
    <t>B0075</t>
  </si>
  <si>
    <t>M1041</t>
  </si>
  <si>
    <t>B0076</t>
  </si>
  <si>
    <t>B0077</t>
  </si>
  <si>
    <t>B0078</t>
  </si>
  <si>
    <t>M1068</t>
  </si>
  <si>
    <t>B0079</t>
  </si>
  <si>
    <t>M1073</t>
  </si>
  <si>
    <t>B0080</t>
  </si>
  <si>
    <t>B0081</t>
  </si>
  <si>
    <t>M1024</t>
  </si>
  <si>
    <t>B0082</t>
  </si>
  <si>
    <t>M1001</t>
  </si>
  <si>
    <t>B0083</t>
  </si>
  <si>
    <t>M1114</t>
  </si>
  <si>
    <t>B0084</t>
  </si>
  <si>
    <t>M1020</t>
  </si>
  <si>
    <t>B0085</t>
  </si>
  <si>
    <t>M1150</t>
  </si>
  <si>
    <t>B0086</t>
  </si>
  <si>
    <t>M1011</t>
  </si>
  <si>
    <t>B0087</t>
  </si>
  <si>
    <t>B0088</t>
  </si>
  <si>
    <t>B0089</t>
  </si>
  <si>
    <t>M1042</t>
  </si>
  <si>
    <t>B0090</t>
  </si>
  <si>
    <t>M1086</t>
  </si>
  <si>
    <t>B0091</t>
  </si>
  <si>
    <t>M1028</t>
  </si>
  <si>
    <t>B0092</t>
  </si>
  <si>
    <t>M1052</t>
  </si>
  <si>
    <t>B0093</t>
  </si>
  <si>
    <t>M1058</t>
  </si>
  <si>
    <t>B0094</t>
  </si>
  <si>
    <t>B0095</t>
  </si>
  <si>
    <t>B0096</t>
  </si>
  <si>
    <t>M1030</t>
  </si>
  <si>
    <t>B0097</t>
  </si>
  <si>
    <t>B0098</t>
  </si>
  <si>
    <t>B0099</t>
  </si>
  <si>
    <t>M1099</t>
  </si>
  <si>
    <t>B0100</t>
  </si>
  <si>
    <t>B0101</t>
  </si>
  <si>
    <t>B0102</t>
  </si>
  <si>
    <t>B0103</t>
  </si>
  <si>
    <t>M1105</t>
  </si>
  <si>
    <t>B0104</t>
  </si>
  <si>
    <t>B0105</t>
  </si>
  <si>
    <t>B0106</t>
  </si>
  <si>
    <t>B0107</t>
  </si>
  <si>
    <t>B0108</t>
  </si>
  <si>
    <t>B0109</t>
  </si>
  <si>
    <t>B0110</t>
  </si>
  <si>
    <t>B0111</t>
  </si>
  <si>
    <t>B0112</t>
  </si>
  <si>
    <t>M1007</t>
  </si>
  <si>
    <t>B0113</t>
  </si>
  <si>
    <t>B0114</t>
  </si>
  <si>
    <t>B0115</t>
  </si>
  <si>
    <t>B0116</t>
  </si>
  <si>
    <t>B0117</t>
  </si>
  <si>
    <t>M1046</t>
  </si>
  <si>
    <t>B0118</t>
  </si>
  <si>
    <t>B0119</t>
  </si>
  <si>
    <t>M1119</t>
  </si>
  <si>
    <t>B0120</t>
  </si>
  <si>
    <t>B0121</t>
  </si>
  <si>
    <t>B0122</t>
  </si>
  <si>
    <t>B0123</t>
  </si>
  <si>
    <t>B0124</t>
  </si>
  <si>
    <t>B0125</t>
  </si>
  <si>
    <t>M1082</t>
  </si>
  <si>
    <t>B0126</t>
  </si>
  <si>
    <t>M1060</t>
  </si>
  <si>
    <t>B0127</t>
  </si>
  <si>
    <t>M1107</t>
  </si>
  <si>
    <t>B0128</t>
  </si>
  <si>
    <t>M1016</t>
  </si>
  <si>
    <t>B0129</t>
  </si>
  <si>
    <t>B0130</t>
  </si>
  <si>
    <t>B0131</t>
  </si>
  <si>
    <t>B0132</t>
  </si>
  <si>
    <t>B0133</t>
  </si>
  <si>
    <t>B0134</t>
  </si>
  <si>
    <t>B0135</t>
  </si>
  <si>
    <t>B0136</t>
  </si>
  <si>
    <t>M1110</t>
  </si>
  <si>
    <t>B0137</t>
  </si>
  <si>
    <t>B0138</t>
  </si>
  <si>
    <t>M1084</t>
  </si>
  <si>
    <t>B0139</t>
  </si>
  <si>
    <t>B0140</t>
  </si>
  <si>
    <t>B0141</t>
  </si>
  <si>
    <t>B0142</t>
  </si>
  <si>
    <t>B0143</t>
  </si>
  <si>
    <t>B0144</t>
  </si>
  <si>
    <t>B0145</t>
  </si>
  <si>
    <t>M1066</t>
  </si>
  <si>
    <t>B0146</t>
  </si>
  <si>
    <t>B0147</t>
  </si>
  <si>
    <t>B0148</t>
  </si>
  <si>
    <t>M1051</t>
  </si>
  <si>
    <t>B0149</t>
  </si>
  <si>
    <t>M1078</t>
  </si>
  <si>
    <t>B0150</t>
  </si>
  <si>
    <t>B0151</t>
  </si>
  <si>
    <t>B0152</t>
  </si>
  <si>
    <t>M1126</t>
  </si>
  <si>
    <t>B0153</t>
  </si>
  <si>
    <t>B0154</t>
  </si>
  <si>
    <t>M1134</t>
  </si>
  <si>
    <t>B0155</t>
  </si>
  <si>
    <t>B0156</t>
  </si>
  <si>
    <t>M1023</t>
  </si>
  <si>
    <t>B0157</t>
  </si>
  <si>
    <t>B0158</t>
  </si>
  <si>
    <t>B0159</t>
  </si>
  <si>
    <t>B0160</t>
  </si>
  <si>
    <t>B0161</t>
  </si>
  <si>
    <t>B0162</t>
  </si>
  <si>
    <t>B0163</t>
  </si>
  <si>
    <t>B0164</t>
  </si>
  <si>
    <t>B0165</t>
  </si>
  <si>
    <t>B0166</t>
  </si>
  <si>
    <t>B0167</t>
  </si>
  <si>
    <t>B0168</t>
  </si>
  <si>
    <t>B0169</t>
  </si>
  <si>
    <t>B0170</t>
  </si>
  <si>
    <t>B0171</t>
  </si>
  <si>
    <t>M1124</t>
  </si>
  <si>
    <t>B0172</t>
  </si>
  <si>
    <t>B0173</t>
  </si>
  <si>
    <t>M1059</t>
  </si>
  <si>
    <t>B0174</t>
  </si>
  <si>
    <t>B0175</t>
  </si>
  <si>
    <t>M1142</t>
  </si>
  <si>
    <t>B0176</t>
  </si>
  <si>
    <t>M1004</t>
  </si>
  <si>
    <t>B0177</t>
  </si>
  <si>
    <t>B0178</t>
  </si>
  <si>
    <t>M1065</t>
  </si>
  <si>
    <t>B0179</t>
  </si>
  <si>
    <t>B0180</t>
  </si>
  <si>
    <t>M1039</t>
  </si>
  <si>
    <t>B0181</t>
  </si>
  <si>
    <t>M1031</t>
  </si>
  <si>
    <t>B0182</t>
  </si>
  <si>
    <t>B0183</t>
  </si>
  <si>
    <t>M1077</t>
  </si>
  <si>
    <t>B0184</t>
  </si>
  <si>
    <t>B0185</t>
  </si>
  <si>
    <t>B0186</t>
  </si>
  <si>
    <t>B0187</t>
  </si>
  <si>
    <t>B0188</t>
  </si>
  <si>
    <t>M1116</t>
  </si>
  <si>
    <t>B0189</t>
  </si>
  <si>
    <t>B0190</t>
  </si>
  <si>
    <t>B0191</t>
  </si>
  <si>
    <t>B0192</t>
  </si>
  <si>
    <t>M1037</t>
  </si>
  <si>
    <t>B0193</t>
  </si>
  <si>
    <t>B0194</t>
  </si>
  <si>
    <t>B0195</t>
  </si>
  <si>
    <t>B0196</t>
  </si>
  <si>
    <t>B0197</t>
  </si>
  <si>
    <t>B0198</t>
  </si>
  <si>
    <t>M1148</t>
  </si>
  <si>
    <t>B0199</t>
  </si>
  <si>
    <t>B0200</t>
  </si>
  <si>
    <t>B0201</t>
  </si>
  <si>
    <t>B0202</t>
  </si>
  <si>
    <t>B0203</t>
  </si>
  <si>
    <t>B0204</t>
  </si>
  <si>
    <t>B0205</t>
  </si>
  <si>
    <t>B0206</t>
  </si>
  <si>
    <t>B0207</t>
  </si>
  <si>
    <t>B0208</t>
  </si>
  <si>
    <t>B0209</t>
  </si>
  <si>
    <t>B0210</t>
  </si>
  <si>
    <t>B0211</t>
  </si>
  <si>
    <t>B0212</t>
  </si>
  <si>
    <t>B0213</t>
  </si>
  <si>
    <t>B0214</t>
  </si>
  <si>
    <t>B0215</t>
  </si>
  <si>
    <t>B0216</t>
  </si>
  <si>
    <t>B0217</t>
  </si>
  <si>
    <t>B0218</t>
  </si>
  <si>
    <t>B0219</t>
  </si>
  <si>
    <t>B0220</t>
  </si>
  <si>
    <t>M1071</t>
  </si>
  <si>
    <t>B0221</t>
  </si>
  <si>
    <t>B0222</t>
  </si>
  <si>
    <t>B0223</t>
  </si>
  <si>
    <t>B0224</t>
  </si>
  <si>
    <t>B0225</t>
  </si>
  <si>
    <t>M1106</t>
  </si>
  <si>
    <t>B0226</t>
  </si>
  <si>
    <t>B0227</t>
  </si>
  <si>
    <t>B0228</t>
  </si>
  <si>
    <t>B0229</t>
  </si>
  <si>
    <t>M1135</t>
  </si>
  <si>
    <t>B0230</t>
  </si>
  <si>
    <t>B0231</t>
  </si>
  <si>
    <t>B0232</t>
  </si>
  <si>
    <t>B0233</t>
  </si>
  <si>
    <t>B0234</t>
  </si>
  <si>
    <t>B0235</t>
  </si>
  <si>
    <t>B0236</t>
  </si>
  <si>
    <t>M1043</t>
  </si>
  <si>
    <t>B0237</t>
  </si>
  <si>
    <t>M1015</t>
  </si>
  <si>
    <t>B0238</t>
  </si>
  <si>
    <t>M1038</t>
  </si>
  <si>
    <t>B0239</t>
  </si>
  <si>
    <t>B0240</t>
  </si>
  <si>
    <t>B0241</t>
  </si>
  <si>
    <t>B0242</t>
  </si>
  <si>
    <t>B0243</t>
  </si>
  <si>
    <t>B0244</t>
  </si>
  <si>
    <t>B0245</t>
  </si>
  <si>
    <t>M1089</t>
  </si>
  <si>
    <t>B0246</t>
  </si>
  <si>
    <t>B0247</t>
  </si>
  <si>
    <t>B0248</t>
  </si>
  <si>
    <t>M1147</t>
  </si>
  <si>
    <t>B0249</t>
  </si>
  <si>
    <t>B0250</t>
  </si>
  <si>
    <t>M1003</t>
  </si>
  <si>
    <t>B0251</t>
  </si>
  <si>
    <t>B0252</t>
  </si>
  <si>
    <t>B0253</t>
  </si>
  <si>
    <t>B0254</t>
  </si>
  <si>
    <t>M1113</t>
  </si>
  <si>
    <t>B0255</t>
  </si>
  <si>
    <t>B0256</t>
  </si>
  <si>
    <t>B0257</t>
  </si>
  <si>
    <t>B0258</t>
  </si>
  <si>
    <t>B0259</t>
  </si>
  <si>
    <t>B0260</t>
  </si>
  <si>
    <t>B0261</t>
  </si>
  <si>
    <t>B0262</t>
  </si>
  <si>
    <t>M1095</t>
  </si>
  <si>
    <t>B0263</t>
  </si>
  <si>
    <t>B0264</t>
  </si>
  <si>
    <t>B0265</t>
  </si>
  <si>
    <t>B0266</t>
  </si>
  <si>
    <t>B0267</t>
  </si>
  <si>
    <t>M1012</t>
  </si>
  <si>
    <t>B0268</t>
  </si>
  <si>
    <t>M1025</t>
  </si>
  <si>
    <t>B0269</t>
  </si>
  <si>
    <t>M1117</t>
  </si>
  <si>
    <t>B0270</t>
  </si>
  <si>
    <t>B0271</t>
  </si>
  <si>
    <t>B0272</t>
  </si>
  <si>
    <t>B0273</t>
  </si>
  <si>
    <t>M1093</t>
  </si>
  <si>
    <t>B0274</t>
  </si>
  <si>
    <t>B0275</t>
  </si>
  <si>
    <t>B0276</t>
  </si>
  <si>
    <t>B0277</t>
  </si>
  <si>
    <t>B0278</t>
  </si>
  <si>
    <t>M1085</t>
  </si>
  <si>
    <t>B0279</t>
  </si>
  <si>
    <t>B0280</t>
  </si>
  <si>
    <t>M1029</t>
  </si>
  <si>
    <t>B0281</t>
  </si>
  <si>
    <t>B0282</t>
  </si>
  <si>
    <t>B0283</t>
  </si>
  <si>
    <t>B0284</t>
  </si>
  <si>
    <t>B0285</t>
  </si>
  <si>
    <t>M1129</t>
  </si>
  <si>
    <t>B0286</t>
  </si>
  <si>
    <t>B0287</t>
  </si>
  <si>
    <t>B0288</t>
  </si>
  <si>
    <t>B0289</t>
  </si>
  <si>
    <t>M1021</t>
  </si>
  <si>
    <t>B0290</t>
  </si>
  <si>
    <t>M1033</t>
  </si>
  <si>
    <t>B0291</t>
  </si>
  <si>
    <t>M1136</t>
  </si>
  <si>
    <t>B0292</t>
  </si>
  <si>
    <t>B0293</t>
  </si>
  <si>
    <t>B0294</t>
  </si>
  <si>
    <t>B0295</t>
  </si>
  <si>
    <t>M1103</t>
  </si>
  <si>
    <t>B0296</t>
  </si>
  <si>
    <t>B0297</t>
  </si>
  <si>
    <t>B0298</t>
  </si>
  <si>
    <t>B0299</t>
  </si>
  <si>
    <t>M1143</t>
  </si>
  <si>
    <t>B0300</t>
  </si>
  <si>
    <t>B0301</t>
  </si>
  <si>
    <t>B0302</t>
  </si>
  <si>
    <t>B0303</t>
  </si>
  <si>
    <t>B0304</t>
  </si>
  <si>
    <t>B0305</t>
  </si>
  <si>
    <t>B0306</t>
  </si>
  <si>
    <t>B0307</t>
  </si>
  <si>
    <t>B0308</t>
  </si>
  <si>
    <t>M1080</t>
  </si>
  <si>
    <t>B0309</t>
  </si>
  <si>
    <t>B0310</t>
  </si>
  <si>
    <t>B0311</t>
  </si>
  <si>
    <t>M1108</t>
  </si>
  <si>
    <t>B0312</t>
  </si>
  <si>
    <t>B0313</t>
  </si>
  <si>
    <t>B0314</t>
  </si>
  <si>
    <t>B0315</t>
  </si>
  <si>
    <t>B0316</t>
  </si>
  <si>
    <t>B0317</t>
  </si>
  <si>
    <t>B0318</t>
  </si>
  <si>
    <t>B0319</t>
  </si>
  <si>
    <t>B0320</t>
  </si>
  <si>
    <t>M1036</t>
  </si>
  <si>
    <t>B0321</t>
  </si>
  <si>
    <t>M1002</t>
  </si>
  <si>
    <t>B0322</t>
  </si>
  <si>
    <t>B0323</t>
  </si>
  <si>
    <t>B0324</t>
  </si>
  <si>
    <t>B0325</t>
  </si>
  <si>
    <t>B0326</t>
  </si>
  <si>
    <t>B0327</t>
  </si>
  <si>
    <t>M1104</t>
  </si>
  <si>
    <t>B0328</t>
  </si>
  <si>
    <t>B0329</t>
  </si>
  <si>
    <t>B0330</t>
  </si>
  <si>
    <t>B0331</t>
  </si>
  <si>
    <t>B0332</t>
  </si>
  <si>
    <t>B0333</t>
  </si>
  <si>
    <t>B0334</t>
  </si>
  <si>
    <t>B0335</t>
  </si>
  <si>
    <t>B0336</t>
  </si>
  <si>
    <t>B0337</t>
  </si>
  <si>
    <t>B0338</t>
  </si>
  <si>
    <t>B0339</t>
  </si>
  <si>
    <t>B0340</t>
  </si>
  <si>
    <t>B0341</t>
  </si>
  <si>
    <t>M1121</t>
  </si>
  <si>
    <t>B0342</t>
  </si>
  <si>
    <t>B0343</t>
  </si>
  <si>
    <t>B0344</t>
  </si>
  <si>
    <t>B0345</t>
  </si>
  <si>
    <t>B0346</t>
  </si>
  <si>
    <t>M1149</t>
  </si>
  <si>
    <t>B0347</t>
  </si>
  <si>
    <t>B0348</t>
  </si>
  <si>
    <t>B0349</t>
  </si>
  <si>
    <t>B0350</t>
  </si>
  <si>
    <t>B0351</t>
  </si>
  <si>
    <t>B0352</t>
  </si>
  <si>
    <t>B0353</t>
  </si>
  <si>
    <t>M1100</t>
  </si>
  <si>
    <t>B0354</t>
  </si>
  <si>
    <t>B0355</t>
  </si>
  <si>
    <t>B0356</t>
  </si>
  <si>
    <t>B0357</t>
  </si>
  <si>
    <t>B0358</t>
  </si>
  <si>
    <t>B0359</t>
  </si>
  <si>
    <t>B0360</t>
  </si>
  <si>
    <t>M1109</t>
  </si>
  <si>
    <t>B0361</t>
  </si>
  <si>
    <t>B0362</t>
  </si>
  <si>
    <t>B0363</t>
  </si>
  <si>
    <t>B0364</t>
  </si>
  <si>
    <t>B0365</t>
  </si>
  <si>
    <t>B0366</t>
  </si>
  <si>
    <t>B0367</t>
  </si>
  <si>
    <t>B0368</t>
  </si>
  <si>
    <t>B0369</t>
  </si>
  <si>
    <t>B0370</t>
  </si>
  <si>
    <t>B0371</t>
  </si>
  <si>
    <t>B0372</t>
  </si>
  <si>
    <t>B0373</t>
  </si>
  <si>
    <t>B0374</t>
  </si>
  <si>
    <t>B0375</t>
  </si>
  <si>
    <t>M1022</t>
  </si>
  <si>
    <t>B0376</t>
  </si>
  <si>
    <t>B0377</t>
  </si>
  <si>
    <t>B0378</t>
  </si>
  <si>
    <t>B0379</t>
  </si>
  <si>
    <t>B0380</t>
  </si>
  <si>
    <t>B0381</t>
  </si>
  <si>
    <t>M1010</t>
  </si>
  <si>
    <t>B0382</t>
  </si>
  <si>
    <t>B0383</t>
  </si>
  <si>
    <t>M1005</t>
  </si>
  <si>
    <t>B0384</t>
  </si>
  <si>
    <t>B0385</t>
  </si>
  <si>
    <t>B0386</t>
  </si>
  <si>
    <t>M1062</t>
  </si>
  <si>
    <t>B0387</t>
  </si>
  <si>
    <t>B0388</t>
  </si>
  <si>
    <t>B0389</t>
  </si>
  <si>
    <t>B0390</t>
  </si>
  <si>
    <t>M1091</t>
  </si>
  <si>
    <t>B0391</t>
  </si>
  <si>
    <t>B0392</t>
  </si>
  <si>
    <t>B0393</t>
  </si>
  <si>
    <t>B0394</t>
  </si>
  <si>
    <t>B0395</t>
  </si>
  <si>
    <t>M1018</t>
  </si>
  <si>
    <t>B0396</t>
  </si>
  <si>
    <t>B0397</t>
  </si>
  <si>
    <t>B0398</t>
  </si>
  <si>
    <t>B0399</t>
  </si>
  <si>
    <t>B0400</t>
  </si>
  <si>
    <t>Anzahl von BuchungsID</t>
  </si>
  <si>
    <t>Spaltenbeschriftungen</t>
  </si>
  <si>
    <t>Buchungen nach Sportarten</t>
  </si>
  <si>
    <t>Sportarten nach Alter</t>
  </si>
  <si>
    <t>Gesamt</t>
  </si>
  <si>
    <t>beliebt:</t>
  </si>
  <si>
    <t>am wenigsten beliebt:</t>
  </si>
  <si>
    <t>nicht Mitglieder:</t>
  </si>
  <si>
    <t xml:space="preserve"> Mitglieder: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</si>
</sst>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 &quot;€&quot;_-;\-* #,##0\ &quot;€&quot;_-;_-* &quot;-&quot;??\ &quot;€&quot;_-;_-@_-"/>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6666"/>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0" fontId="3" fillId="0" borderId="0" xfId="0" applyFont="1"/>
    <xf numFmtId="0" fontId="3" fillId="0" borderId="0" xfId="0" applyFont="1" applyAlignment="1">
      <alignment horizontal="left"/>
    </xf>
    <xf numFmtId="0" fontId="0" fillId="2" borderId="0" xfId="0" applyFill="1"/>
    <xf numFmtId="0" fontId="2" fillId="2" borderId="0" xfId="0" applyFont="1" applyFill="1"/>
    <xf numFmtId="164" fontId="2" fillId="2" borderId="0" xfId="1" applyNumberFormat="1" applyFont="1" applyFill="1"/>
    <xf numFmtId="0" fontId="2" fillId="2" borderId="0" xfId="0" applyFont="1" applyFill="1" applyAlignment="1">
      <alignment horizontal="right"/>
    </xf>
    <xf numFmtId="0" fontId="2" fillId="2" borderId="0" xfId="0" applyFont="1" applyFill="1" applyAlignment="1">
      <alignment horizontal="left"/>
    </xf>
    <xf numFmtId="0" fontId="0" fillId="0" borderId="0" xfId="0" applyNumberFormat="1"/>
  </cellXfs>
  <cellStyles count="2">
    <cellStyle name="Standard" xfId="0" builtinId="0"/>
    <cellStyle name="Währung" xfId="1" builtinId="4"/>
  </cellStyles>
  <dxfs count="18">
    <dxf>
      <numFmt numFmtId="0" formatCode="General"/>
    </dxf>
    <dxf>
      <numFmt numFmtId="165" formatCode="_-* #,##0\ [$€-407]_-;\-* #,##0\ [$€-407]_-;_-* &quot;-&quot;??\ [$€-407]_-;_-@_-"/>
    </dxf>
    <dxf>
      <numFmt numFmtId="164" formatCode="_-* #,##0\ &quot;€&quot;_-;\-* #,##0\ &quot;€&quot;_-;_-* &quot;-&quot;??\ &quot;€&quot;_-;_-@_-"/>
    </dxf>
    <dxf>
      <numFmt numFmtId="164" formatCode="_-* #,##0\ &quot;€&quot;_-;\-* #,##0\ &quot;€&quot;_-;_-* &quot;-&quot;??\ &quot;€&quot;_-;_-@_-"/>
    </dxf>
    <dxf>
      <numFmt numFmtId="165" formatCode="_-* #,##0\ [$€-407]_-;\-* #,##0\ [$€-407]_-;_-* &quot;-&quot;??\ [$€-407]_-;_-@_-"/>
    </dxf>
    <dxf>
      <numFmt numFmtId="164" formatCode="_-* #,##0\ &quot;€&quot;_-;\-* #,##0\ &quot;€&quot;_-;_-* &quot;-&quot;??\ &quot;€&quot;_-;_-@_-"/>
    </dxf>
    <dxf>
      <numFmt numFmtId="164" formatCode="_-* #,##0\ &quot;€&quot;_-;\-* #,##0\ &quot;€&quot;_-;_-* &quot;-&quot;??\ &quot;€&quot;_-;_-@_-"/>
    </dxf>
    <dxf>
      <numFmt numFmtId="165" formatCode="_-* #,##0\ [$€-407]_-;\-* #,##0\ [$€-407]_-;_-* &quot;-&quot;??\ [$€-407]_-;_-@_-"/>
    </dxf>
    <dxf>
      <numFmt numFmtId="164" formatCode="_-* #,##0\ &quot;€&quot;_-;\-* #,##0\ &quot;€&quot;_-;_-* &quot;-&quot;??\ &quot;€&quot;_-;_-@_-"/>
    </dxf>
    <dxf>
      <numFmt numFmtId="164" formatCode="_-* #,##0\ &quot;€&quot;_-;\-* #,##0\ &quot;€&quot;_-;_-* &quot;-&quot;??\ &quot;€&quot;_-;_-@_-"/>
    </dxf>
    <dxf>
      <numFmt numFmtId="0" formatCode="General"/>
    </dxf>
    <dxf>
      <numFmt numFmtId="0" formatCode="General"/>
    </dxf>
    <dxf>
      <numFmt numFmtId="0" formatCode="General"/>
    </dxf>
    <dxf>
      <numFmt numFmtId="19" formatCode="dd/mm/yyyy"/>
    </dxf>
    <dxf>
      <numFmt numFmtId="164" formatCode="_-* #,##0\ &quot;€&quot;_-;\-* #,##0\ &quot;€&quot;_-;_-* &quot;-&quot;??\ &quot;€&quot;_-;_-@_-"/>
    </dxf>
    <dxf>
      <numFmt numFmtId="164" formatCode="_-* #,##0\ &quot;€&quot;_-;\-* #,##0\ &quot;€&quot;_-;_-* &quot;-&quot;??\ &quot;€&quot;_-;_-@_-"/>
    </dxf>
    <dxf>
      <numFmt numFmtId="165" formatCode="_-* #,##0\ [$€-407]_-;\-* #,##0\ [$€-407]_-;_-* &quot;-&quot;??\ [$€-407]_-;_-@_-"/>
    </dxf>
    <dxf>
      <numFmt numFmtId="0" formatCode="General"/>
    </dxf>
  </dxfs>
  <tableStyles count="0" defaultTableStyle="TableStyleMedium2" defaultPivotStyle="PivotStyleLight16"/>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[Dashboard_Sportkurse.xlsx]Pivot!PivotTable2</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rgbClr val="006666"/>
                </a:solidFill>
              </a:rPr>
              <a:t>Umsatz nach Sportarten monatlich</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Ergebnis</c:v>
                </c:pt>
              </c:strCache>
            </c:strRef>
          </c:tx>
          <c:spPr>
            <a:solidFill>
              <a:srgbClr val="006666"/>
            </a:solidFill>
            <a:ln>
              <a:noFill/>
            </a:ln>
            <a:effectLst/>
          </c:spPr>
          <c:invertIfNegative val="0"/>
          <c:cat>
            <c:strRef>
              <c:f>Pivot!$A$4:$A$13</c:f>
              <c:strCache>
                <c:ptCount val="9"/>
                <c:pt idx="0">
                  <c:v>Jan</c:v>
                </c:pt>
                <c:pt idx="1">
                  <c:v>Feb</c:v>
                </c:pt>
                <c:pt idx="2">
                  <c:v>Mrz</c:v>
                </c:pt>
                <c:pt idx="3">
                  <c:v>Apr</c:v>
                </c:pt>
                <c:pt idx="4">
                  <c:v>Mai</c:v>
                </c:pt>
                <c:pt idx="5">
                  <c:v>Jun</c:v>
                </c:pt>
                <c:pt idx="6">
                  <c:v>Jul</c:v>
                </c:pt>
                <c:pt idx="7">
                  <c:v>Aug</c:v>
                </c:pt>
                <c:pt idx="8">
                  <c:v>Sep</c:v>
                </c:pt>
              </c:strCache>
            </c:strRef>
          </c:cat>
          <c:val>
            <c:numRef>
              <c:f>Pivot!$B$4:$B$13</c:f>
              <c:numCache>
                <c:formatCode>_-* #,##0\ "€"_-;\-* #,##0\ "€"_-;_-* "-"??\ "€"_-;_-@_-</c:formatCode>
                <c:ptCount val="9"/>
                <c:pt idx="0">
                  <c:v>3620</c:v>
                </c:pt>
                <c:pt idx="1">
                  <c:v>3530</c:v>
                </c:pt>
                <c:pt idx="2">
                  <c:v>3560</c:v>
                </c:pt>
                <c:pt idx="3">
                  <c:v>2770</c:v>
                </c:pt>
                <c:pt idx="4">
                  <c:v>3795</c:v>
                </c:pt>
                <c:pt idx="5">
                  <c:v>3460</c:v>
                </c:pt>
                <c:pt idx="6">
                  <c:v>3080</c:v>
                </c:pt>
                <c:pt idx="7">
                  <c:v>4665</c:v>
                </c:pt>
                <c:pt idx="8">
                  <c:v>3380</c:v>
                </c:pt>
              </c:numCache>
            </c:numRef>
          </c:val>
          <c:extLst>
            <c:ext xmlns:c16="http://schemas.microsoft.com/office/drawing/2014/chart" uri="{C3380CC4-5D6E-409C-BE32-E72D297353CC}">
              <c16:uniqueId val="{00000000-D9FD-4CB6-90AF-32B94A07B68F}"/>
            </c:ext>
          </c:extLst>
        </c:ser>
        <c:dLbls>
          <c:showLegendKey val="0"/>
          <c:showVal val="0"/>
          <c:showCatName val="0"/>
          <c:showSerName val="0"/>
          <c:showPercent val="0"/>
          <c:showBubbleSize val="0"/>
        </c:dLbls>
        <c:gapWidth val="219"/>
        <c:overlap val="-27"/>
        <c:axId val="292578352"/>
        <c:axId val="292575832"/>
      </c:barChart>
      <c:catAx>
        <c:axId val="29257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292575832"/>
        <c:crosses val="autoZero"/>
        <c:auto val="1"/>
        <c:lblAlgn val="ctr"/>
        <c:lblOffset val="100"/>
        <c:noMultiLvlLbl val="0"/>
      </c:catAx>
      <c:valAx>
        <c:axId val="292575832"/>
        <c:scaling>
          <c:orientation val="minMax"/>
        </c:scaling>
        <c:delete val="0"/>
        <c:axPos val="l"/>
        <c:majorGridlines>
          <c:spPr>
            <a:ln w="9525" cap="flat" cmpd="sng" algn="ctr">
              <a:solidFill>
                <a:schemeClr val="tx1">
                  <a:lumMod val="15000"/>
                  <a:lumOff val="85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292578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1000" b="0" i="0" u="none" strike="noStrike" kern="1200" baseline="0">
                <a:solidFill>
                  <a:schemeClr val="tx1"/>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[Dashboard_Sportkurse.xlsx]Pivot!PivotTable3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666"/>
                </a:solidFill>
              </a:rPr>
              <a:t>Anmeldungen nach Sportarten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c:f>
              <c:strCache>
                <c:ptCount val="1"/>
                <c:pt idx="0">
                  <c:v>Ergebnis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Pivot!$A$21:$A$42</c:f>
              <c:strCache>
                <c:ptCount val="21"/>
                <c:pt idx="0">
                  <c:v>Basketball</c:v>
                </c:pt>
                <c:pt idx="1">
                  <c:v>Tricking</c:v>
                </c:pt>
                <c:pt idx="2">
                  <c:v>Walking</c:v>
                </c:pt>
                <c:pt idx="3">
                  <c:v>Parkour</c:v>
                </c:pt>
                <c:pt idx="4">
                  <c:v>Tanz</c:v>
                </c:pt>
                <c:pt idx="5">
                  <c:v>Groupfitness</c:v>
                </c:pt>
                <c:pt idx="6">
                  <c:v>Handball</c:v>
                </c:pt>
                <c:pt idx="7">
                  <c:v>Triathlon</c:v>
                </c:pt>
                <c:pt idx="8">
                  <c:v>Cheerleading</c:v>
                </c:pt>
                <c:pt idx="9">
                  <c:v>Fechten</c:v>
                </c:pt>
                <c:pt idx="10">
                  <c:v>Tennis</c:v>
                </c:pt>
                <c:pt idx="11">
                  <c:v>Wandern</c:v>
                </c:pt>
                <c:pt idx="12">
                  <c:v>Padel-Tennis</c:v>
                </c:pt>
                <c:pt idx="13">
                  <c:v>Bogensport</c:v>
                </c:pt>
                <c:pt idx="14">
                  <c:v>Leichtathletik</c:v>
                </c:pt>
                <c:pt idx="15">
                  <c:v>Badminton</c:v>
                </c:pt>
                <c:pt idx="16">
                  <c:v>Karate</c:v>
                </c:pt>
                <c:pt idx="17">
                  <c:v>Tischkicker</c:v>
                </c:pt>
                <c:pt idx="18">
                  <c:v>Yoga</c:v>
                </c:pt>
                <c:pt idx="19">
                  <c:v>Turnen</c:v>
                </c:pt>
                <c:pt idx="20">
                  <c:v>Hockey</c:v>
                </c:pt>
              </c:strCache>
            </c:strRef>
          </c:cat>
          <c:val>
            <c:numRef>
              <c:f>Pivot!$B$21:$B$42</c:f>
              <c:numCache>
                <c:formatCode>General</c:formatCode>
                <c:ptCount val="21"/>
                <c:pt idx="0">
                  <c:v>11</c:v>
                </c:pt>
                <c:pt idx="1">
                  <c:v>13</c:v>
                </c:pt>
                <c:pt idx="2">
                  <c:v>14</c:v>
                </c:pt>
                <c:pt idx="3">
                  <c:v>16</c:v>
                </c:pt>
                <c:pt idx="4">
                  <c:v>16</c:v>
                </c:pt>
                <c:pt idx="5">
                  <c:v>17</c:v>
                </c:pt>
                <c:pt idx="6">
                  <c:v>18</c:v>
                </c:pt>
                <c:pt idx="7">
                  <c:v>18</c:v>
                </c:pt>
                <c:pt idx="8">
                  <c:v>18</c:v>
                </c:pt>
                <c:pt idx="9">
                  <c:v>18</c:v>
                </c:pt>
                <c:pt idx="10">
                  <c:v>18</c:v>
                </c:pt>
                <c:pt idx="11">
                  <c:v>19</c:v>
                </c:pt>
                <c:pt idx="12">
                  <c:v>20</c:v>
                </c:pt>
                <c:pt idx="13">
                  <c:v>21</c:v>
                </c:pt>
                <c:pt idx="14">
                  <c:v>21</c:v>
                </c:pt>
                <c:pt idx="15">
                  <c:v>22</c:v>
                </c:pt>
                <c:pt idx="16">
                  <c:v>23</c:v>
                </c:pt>
                <c:pt idx="17">
                  <c:v>24</c:v>
                </c:pt>
                <c:pt idx="18">
                  <c:v>24</c:v>
                </c:pt>
                <c:pt idx="19">
                  <c:v>24</c:v>
                </c:pt>
                <c:pt idx="20">
                  <c:v>25</c:v>
                </c:pt>
              </c:numCache>
            </c:numRef>
          </c:val>
          <c:extLst>
            <c:ext xmlns:c16="http://schemas.microsoft.com/office/drawing/2014/chart" uri="{C3380CC4-5D6E-409C-BE32-E72D297353CC}">
              <c16:uniqueId val="{00000000-70B6-4864-B0FA-1D17728F87FF}"/>
            </c:ext>
          </c:extLst>
        </c:ser>
        <c:dLbls>
          <c:showLegendKey val="0"/>
          <c:showVal val="0"/>
          <c:showCatName val="0"/>
          <c:showSerName val="0"/>
          <c:showPercent val="0"/>
          <c:showBubbleSize val="0"/>
        </c:dLbls>
        <c:gapWidth val="182"/>
        <c:axId val="687938432"/>
        <c:axId val="687934112"/>
      </c:barChart>
      <c:catAx>
        <c:axId val="68793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87934112"/>
        <c:crosses val="autoZero"/>
        <c:auto val="1"/>
        <c:lblAlgn val="ctr"/>
        <c:lblOffset val="100"/>
        <c:noMultiLvlLbl val="0"/>
      </c:catAx>
      <c:valAx>
        <c:axId val="68793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8793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[Dashboard_Sportkurse.xlsx]Pivot!PivotTable5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666"/>
                </a:solidFill>
              </a:rPr>
              <a:t>Sportarten</a:t>
            </a:r>
            <a:r>
              <a:rPr lang="en-US" b="1" baseline="0">
                <a:solidFill>
                  <a:srgbClr val="006666"/>
                </a:solidFill>
              </a:rPr>
              <a:t> nach Alter</a:t>
            </a:r>
            <a:endParaRPr lang="en-US" b="1">
              <a:solidFill>
                <a:srgbClr val="00666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Ergebnis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Pivot!$D$4:$D$25</c:f>
              <c:strCache>
                <c:ptCount val="21"/>
                <c:pt idx="0">
                  <c:v>Basketball</c:v>
                </c:pt>
                <c:pt idx="1">
                  <c:v>Tricking</c:v>
                </c:pt>
                <c:pt idx="2">
                  <c:v>Walking</c:v>
                </c:pt>
                <c:pt idx="3">
                  <c:v>Parkour</c:v>
                </c:pt>
                <c:pt idx="4">
                  <c:v>Tanz</c:v>
                </c:pt>
                <c:pt idx="5">
                  <c:v>Groupfitness</c:v>
                </c:pt>
                <c:pt idx="6">
                  <c:v>Handball</c:v>
                </c:pt>
                <c:pt idx="7">
                  <c:v>Triathlon</c:v>
                </c:pt>
                <c:pt idx="8">
                  <c:v>Cheerleading</c:v>
                </c:pt>
                <c:pt idx="9">
                  <c:v>Fechten</c:v>
                </c:pt>
                <c:pt idx="10">
                  <c:v>Tennis</c:v>
                </c:pt>
                <c:pt idx="11">
                  <c:v>Wandern</c:v>
                </c:pt>
                <c:pt idx="12">
                  <c:v>Padel-Tennis</c:v>
                </c:pt>
                <c:pt idx="13">
                  <c:v>Bogensport</c:v>
                </c:pt>
                <c:pt idx="14">
                  <c:v>Leichtathletik</c:v>
                </c:pt>
                <c:pt idx="15">
                  <c:v>Badminton</c:v>
                </c:pt>
                <c:pt idx="16">
                  <c:v>Karate</c:v>
                </c:pt>
                <c:pt idx="17">
                  <c:v>Tischkicker</c:v>
                </c:pt>
                <c:pt idx="18">
                  <c:v>Yoga</c:v>
                </c:pt>
                <c:pt idx="19">
                  <c:v>Turnen</c:v>
                </c:pt>
                <c:pt idx="20">
                  <c:v>Hockey</c:v>
                </c:pt>
              </c:strCache>
            </c:strRef>
          </c:cat>
          <c:val>
            <c:numRef>
              <c:f>Pivot!$E$4:$E$25</c:f>
              <c:numCache>
                <c:formatCode>General</c:formatCode>
                <c:ptCount val="21"/>
                <c:pt idx="0">
                  <c:v>11</c:v>
                </c:pt>
                <c:pt idx="1">
                  <c:v>13</c:v>
                </c:pt>
                <c:pt idx="2">
                  <c:v>14</c:v>
                </c:pt>
                <c:pt idx="3">
                  <c:v>16</c:v>
                </c:pt>
                <c:pt idx="4">
                  <c:v>16</c:v>
                </c:pt>
                <c:pt idx="5">
                  <c:v>17</c:v>
                </c:pt>
                <c:pt idx="6">
                  <c:v>18</c:v>
                </c:pt>
                <c:pt idx="7">
                  <c:v>18</c:v>
                </c:pt>
                <c:pt idx="8">
                  <c:v>18</c:v>
                </c:pt>
                <c:pt idx="9">
                  <c:v>18</c:v>
                </c:pt>
                <c:pt idx="10">
                  <c:v>18</c:v>
                </c:pt>
                <c:pt idx="11">
                  <c:v>19</c:v>
                </c:pt>
                <c:pt idx="12">
                  <c:v>20</c:v>
                </c:pt>
                <c:pt idx="13">
                  <c:v>21</c:v>
                </c:pt>
                <c:pt idx="14">
                  <c:v>21</c:v>
                </c:pt>
                <c:pt idx="15">
                  <c:v>22</c:v>
                </c:pt>
                <c:pt idx="16">
                  <c:v>23</c:v>
                </c:pt>
                <c:pt idx="17">
                  <c:v>24</c:v>
                </c:pt>
                <c:pt idx="18">
                  <c:v>24</c:v>
                </c:pt>
                <c:pt idx="19">
                  <c:v>24</c:v>
                </c:pt>
                <c:pt idx="20">
                  <c:v>25</c:v>
                </c:pt>
              </c:numCache>
            </c:numRef>
          </c:val>
          <c:extLst>
            <c:ext xmlns:c16="http://schemas.microsoft.com/office/drawing/2014/chart" uri="{C3380CC4-5D6E-409C-BE32-E72D297353CC}">
              <c16:uniqueId val="{00000000-408D-4A36-B1EE-D7CB2850511F}"/>
            </c:ext>
          </c:extLst>
        </c:ser>
        <c:dLbls>
          <c:showLegendKey val="0"/>
          <c:showVal val="0"/>
          <c:showCatName val="0"/>
          <c:showSerName val="0"/>
          <c:showPercent val="0"/>
          <c:showBubbleSize val="0"/>
        </c:dLbls>
        <c:gapWidth val="182"/>
        <c:axId val="1608059832"/>
        <c:axId val="1608060192"/>
      </c:barChart>
      <c:catAx>
        <c:axId val="1608059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8060192"/>
        <c:crosses val="autoZero"/>
        <c:auto val="1"/>
        <c:lblAlgn val="ctr"/>
        <c:lblOffset val="100"/>
        <c:noMultiLvlLbl val="0"/>
      </c:catAx>
      <c:valAx>
        <c:axId val="1608060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8059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161925</xdr:rowOff>
    </xdr:from>
    <xdr:to>
      <xdr:col>9</xdr:col>
      <xdr:colOff>709613</xdr:colOff>
      <xdr:row>17</xdr:row>
      <xdr:rowOff>61912</xdr:rowOff>
    </xdr:to>
    <xdr:graphicFrame macro="">
      <xdr:nvGraphicFramePr>
        <xdr:cNvPr id="2" name="Diagramm 1">
          <a:extLst>
            <a:ext uri="{FF2B5EF4-FFF2-40B4-BE49-F238E27FC236}">
              <a16:creationId xmlns:a16="http://schemas.microsoft.com/office/drawing/2014/main" id="{5E69F0B0-9806-4BCE-BFAD-AD5465FAA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33761</xdr:colOff>
      <xdr:row>3</xdr:row>
      <xdr:rowOff>2520</xdr:rowOff>
    </xdr:from>
    <xdr:to>
      <xdr:col>12</xdr:col>
      <xdr:colOff>289535</xdr:colOff>
      <xdr:row>17</xdr:row>
      <xdr:rowOff>64437</xdr:rowOff>
    </xdr:to>
    <mc:AlternateContent xmlns:mc="http://schemas.openxmlformats.org/markup-compatibility/2006" xmlns:a14="http://schemas.microsoft.com/office/drawing/2010/main">
      <mc:Choice Requires="a14">
        <xdr:graphicFrame macro="">
          <xdr:nvGraphicFramePr>
            <xdr:cNvPr id="3" name="Sportart">
              <a:extLst>
                <a:ext uri="{FF2B5EF4-FFF2-40B4-BE49-F238E27FC236}">
                  <a16:creationId xmlns:a16="http://schemas.microsoft.com/office/drawing/2014/main" id="{DD16F741-B332-4640-9099-CAC978668DFD}"/>
                </a:ext>
              </a:extLst>
            </xdr:cNvPr>
            <xdr:cNvGraphicFramePr/>
          </xdr:nvGraphicFramePr>
          <xdr:xfrm>
            <a:off x="0" y="0"/>
            <a:ext cx="0" cy="0"/>
          </xdr:xfrm>
          <a:graphic>
            <a:graphicData uri="http://schemas.microsoft.com/office/drawing/2010/slicer">
              <sle:slicer xmlns:sle="http://schemas.microsoft.com/office/drawing/2010/slicer" name="Sportart"/>
            </a:graphicData>
          </a:graphic>
        </xdr:graphicFrame>
      </mc:Choice>
      <mc:Fallback xmlns="">
        <xdr:sp macro="" textlink="">
          <xdr:nvSpPr>
            <xdr:cNvPr id="0" name=""/>
            <xdr:cNvSpPr>
              <a:spLocks noTextEdit="1"/>
            </xdr:cNvSpPr>
          </xdr:nvSpPr>
          <xdr:spPr>
            <a:xfrm>
              <a:off x="7668303" y="547844"/>
              <a:ext cx="1829944" cy="260676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0</xdr:col>
      <xdr:colOff>80962</xdr:colOff>
      <xdr:row>18</xdr:row>
      <xdr:rowOff>52384</xdr:rowOff>
    </xdr:from>
    <xdr:to>
      <xdr:col>9</xdr:col>
      <xdr:colOff>704850</xdr:colOff>
      <xdr:row>37</xdr:row>
      <xdr:rowOff>14288</xdr:rowOff>
    </xdr:to>
    <xdr:graphicFrame macro="">
      <xdr:nvGraphicFramePr>
        <xdr:cNvPr id="4" name="Diagramm 3">
          <a:extLst>
            <a:ext uri="{FF2B5EF4-FFF2-40B4-BE49-F238E27FC236}">
              <a16:creationId xmlns:a16="http://schemas.microsoft.com/office/drawing/2014/main" id="{F5330D17-8F11-46AB-A726-D1EF6DC73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21433</xdr:colOff>
      <xdr:row>18</xdr:row>
      <xdr:rowOff>80960</xdr:rowOff>
    </xdr:from>
    <xdr:to>
      <xdr:col>12</xdr:col>
      <xdr:colOff>277207</xdr:colOff>
      <xdr:row>38</xdr:row>
      <xdr:rowOff>109536</xdr:rowOff>
    </xdr:to>
    <mc:AlternateContent xmlns:mc="http://schemas.openxmlformats.org/markup-compatibility/2006" xmlns:a14="http://schemas.microsoft.com/office/drawing/2010/main">
      <mc:Choice Requires="a14">
        <xdr:graphicFrame macro="">
          <xdr:nvGraphicFramePr>
            <xdr:cNvPr id="5" name="Monate (Datum)">
              <a:extLst>
                <a:ext uri="{FF2B5EF4-FFF2-40B4-BE49-F238E27FC236}">
                  <a16:creationId xmlns:a16="http://schemas.microsoft.com/office/drawing/2014/main" id="{3E67A436-19E6-4045-84AA-52BB066252ED}"/>
                </a:ext>
              </a:extLst>
            </xdr:cNvPr>
            <xdr:cNvGraphicFramePr/>
          </xdr:nvGraphicFramePr>
          <xdr:xfrm>
            <a:off x="0" y="0"/>
            <a:ext cx="0" cy="0"/>
          </xdr:xfrm>
          <a:graphic>
            <a:graphicData uri="http://schemas.microsoft.com/office/drawing/2010/slicer">
              <sle:slicer xmlns:sle="http://schemas.microsoft.com/office/drawing/2010/slicer" name="Monate (Datum)"/>
            </a:graphicData>
          </a:graphic>
        </xdr:graphicFrame>
      </mc:Choice>
      <mc:Fallback xmlns="">
        <xdr:sp macro="" textlink="">
          <xdr:nvSpPr>
            <xdr:cNvPr id="0" name=""/>
            <xdr:cNvSpPr>
              <a:spLocks noTextEdit="1"/>
            </xdr:cNvSpPr>
          </xdr:nvSpPr>
          <xdr:spPr>
            <a:xfrm>
              <a:off x="7655975" y="3352907"/>
              <a:ext cx="1829944" cy="3664072"/>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12</xdr:col>
      <xdr:colOff>360651</xdr:colOff>
      <xdr:row>0</xdr:row>
      <xdr:rowOff>114733</xdr:rowOff>
    </xdr:from>
    <xdr:to>
      <xdr:col>22</xdr:col>
      <xdr:colOff>253830</xdr:colOff>
      <xdr:row>20</xdr:row>
      <xdr:rowOff>16979</xdr:rowOff>
    </xdr:to>
    <xdr:graphicFrame macro="">
      <xdr:nvGraphicFramePr>
        <xdr:cNvPr id="6" name="Diagramm 5">
          <a:extLst>
            <a:ext uri="{FF2B5EF4-FFF2-40B4-BE49-F238E27FC236}">
              <a16:creationId xmlns:a16="http://schemas.microsoft.com/office/drawing/2014/main" id="{F8FCA941-2292-4DE1-8388-1C407CA5F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353508</xdr:colOff>
      <xdr:row>0</xdr:row>
      <xdr:rowOff>114732</xdr:rowOff>
    </xdr:from>
    <xdr:to>
      <xdr:col>24</xdr:col>
      <xdr:colOff>652577</xdr:colOff>
      <xdr:row>14</xdr:row>
      <xdr:rowOff>176649</xdr:rowOff>
    </xdr:to>
    <mc:AlternateContent xmlns:mc="http://schemas.openxmlformats.org/markup-compatibility/2006">
      <mc:Choice xmlns:a14="http://schemas.microsoft.com/office/drawing/2010/main" Requires="a14">
        <xdr:graphicFrame macro="">
          <xdr:nvGraphicFramePr>
            <xdr:cNvPr id="7" name="Alter">
              <a:extLst>
                <a:ext uri="{FF2B5EF4-FFF2-40B4-BE49-F238E27FC236}">
                  <a16:creationId xmlns:a16="http://schemas.microsoft.com/office/drawing/2014/main" id="{E4B3FDF7-5918-414F-96F9-656D12946D65}"/>
                </a:ext>
              </a:extLst>
            </xdr:cNvPr>
            <xdr:cNvGraphicFramePr/>
          </xdr:nvGraphicFramePr>
          <xdr:xfrm>
            <a:off x="0" y="0"/>
            <a:ext cx="0" cy="0"/>
          </xdr:xfrm>
          <a:graphic>
            <a:graphicData uri="http://schemas.microsoft.com/office/drawing/2010/slicer">
              <sle:slicer xmlns:sle="http://schemas.microsoft.com/office/drawing/2010/slicer" name="Alter"/>
            </a:graphicData>
          </a:graphic>
        </xdr:graphicFrame>
      </mc:Choice>
      <mc:Fallback>
        <xdr:sp macro="" textlink="">
          <xdr:nvSpPr>
            <xdr:cNvPr id="0" name=""/>
            <xdr:cNvSpPr>
              <a:spLocks noTextEdit="1"/>
            </xdr:cNvSpPr>
          </xdr:nvSpPr>
          <xdr:spPr>
            <a:xfrm>
              <a:off x="17197351" y="114732"/>
              <a:ext cx="1825870" cy="261125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stja" refreshedDate="46318.566522222223" createdVersion="8" refreshedVersion="8" minRefreshableVersion="3" recordCount="400" xr:uid="{6662FBCB-CB63-4805-9CC9-EEC8F91BCFB5}">
  <cacheSource type="worksheet">
    <worksheetSource name="buchungen_rohdaten__2"/>
  </cacheSource>
  <cacheFields count="10">
    <cacheField name="Datum" numFmtId="14">
      <sharedItems containsSemiMixedTypes="0" containsNonDate="0" containsDate="1" containsString="0" minDate="2026-01-01T00:00:00" maxDate="2026-09-30T00:00:00" count="209">
        <d v="2026-01-13T00:00:00"/>
        <d v="2026-04-25T00:00:00"/>
        <d v="2026-08-05T00:00:00"/>
        <d v="2026-04-30T00:00:00"/>
        <d v="2026-04-12T00:00:00"/>
        <d v="2026-08-03T00:00:00"/>
        <d v="2026-01-04T00:00:00"/>
        <d v="2026-06-24T00:00:00"/>
        <d v="2026-02-22T00:00:00"/>
        <d v="2026-06-26T00:00:00"/>
        <d v="2026-08-24T00:00:00"/>
        <d v="2026-02-10T00:00:00"/>
        <d v="2026-07-05T00:00:00"/>
        <d v="2026-01-24T00:00:00"/>
        <d v="2026-08-21T00:00:00"/>
        <d v="2026-07-09T00:00:00"/>
        <d v="2026-03-29T00:00:00"/>
        <d v="2026-08-25T00:00:00"/>
        <d v="2026-04-23T00:00:00"/>
        <d v="2026-04-28T00:00:00"/>
        <d v="2026-02-03T00:00:00"/>
        <d v="2026-09-13T00:00:00"/>
        <d v="2026-03-13T00:00:00"/>
        <d v="2026-08-08T00:00:00"/>
        <d v="2026-01-25T00:00:00"/>
        <d v="2026-07-15T00:00:00"/>
        <d v="2026-05-09T00:00:00"/>
        <d v="2026-05-17T00:00:00"/>
        <d v="2026-02-27T00:00:00"/>
        <d v="2026-01-02T00:00:00"/>
        <d v="2026-04-02T00:00:00"/>
        <d v="2026-09-17T00:00:00"/>
        <d v="2026-07-11T00:00:00"/>
        <d v="2026-09-29T00:00:00"/>
        <d v="2026-05-04T00:00:00"/>
        <d v="2026-09-06T00:00:00"/>
        <d v="2026-09-01T00:00:00"/>
        <d v="2026-09-28T00:00:00"/>
        <d v="2026-04-13T00:00:00"/>
        <d v="2026-05-07T00:00:00"/>
        <d v="2026-02-06T00:00:00"/>
        <d v="2026-09-21T00:00:00"/>
        <d v="2026-03-09T00:00:00"/>
        <d v="2026-08-31T00:00:00"/>
        <d v="2026-02-18T00:00:00"/>
        <d v="2026-07-30T00:00:00"/>
        <d v="2026-02-01T00:00:00"/>
        <d v="2026-04-09T00:00:00"/>
        <d v="2026-02-08T00:00:00"/>
        <d v="2026-01-08T00:00:00"/>
        <d v="2026-01-31T00:00:00"/>
        <d v="2026-05-16T00:00:00"/>
        <d v="2026-09-07T00:00:00"/>
        <d v="2026-01-30T00:00:00"/>
        <d v="2026-06-10T00:00:00"/>
        <d v="2026-09-15T00:00:00"/>
        <d v="2026-09-18T00:00:00"/>
        <d v="2026-02-04T00:00:00"/>
        <d v="2026-03-03T00:00:00"/>
        <d v="2026-01-21T00:00:00"/>
        <d v="2026-09-25T00:00:00"/>
        <d v="2026-05-03T00:00:00"/>
        <d v="2026-08-23T00:00:00"/>
        <d v="2026-02-21T00:00:00"/>
        <d v="2026-06-04T00:00:00"/>
        <d v="2026-01-05T00:00:00"/>
        <d v="2026-02-23T00:00:00"/>
        <d v="2026-03-21T00:00:00"/>
        <d v="2026-06-25T00:00:00"/>
        <d v="2026-05-22T00:00:00"/>
        <d v="2026-05-15T00:00:00"/>
        <d v="2026-01-19T00:00:00"/>
        <d v="2026-08-09T00:00:00"/>
        <d v="2026-07-01T00:00:00"/>
        <d v="2026-08-29T00:00:00"/>
        <d v="2026-06-06T00:00:00"/>
        <d v="2026-07-24T00:00:00"/>
        <d v="2026-06-29T00:00:00"/>
        <d v="2026-06-19T00:00:00"/>
        <d v="2026-09-19T00:00:00"/>
        <d v="2026-05-11T00:00:00"/>
        <d v="2026-04-11T00:00:00"/>
        <d v="2026-06-01T00:00:00"/>
        <d v="2026-08-04T00:00:00"/>
        <d v="2026-05-27T00:00:00"/>
        <d v="2026-06-14T00:00:00"/>
        <d v="2026-05-26T00:00:00"/>
        <d v="2026-06-21T00:00:00"/>
        <d v="2026-08-01T00:00:00"/>
        <d v="2026-07-16T00:00:00"/>
        <d v="2026-03-17T00:00:00"/>
        <d v="2026-08-06T00:00:00"/>
        <d v="2026-01-26T00:00:00"/>
        <d v="2026-08-22T00:00:00"/>
        <d v="2026-06-12T00:00:00"/>
        <d v="2026-09-16T00:00:00"/>
        <d v="2026-09-24T00:00:00"/>
        <d v="2026-05-21T00:00:00"/>
        <d v="2026-05-20T00:00:00"/>
        <d v="2026-03-12T00:00:00"/>
        <d v="2026-04-20T00:00:00"/>
        <d v="2026-08-27T00:00:00"/>
        <d v="2026-07-19T00:00:00"/>
        <d v="2026-07-14T00:00:00"/>
        <d v="2026-06-02T00:00:00"/>
        <d v="2026-08-12T00:00:00"/>
        <d v="2026-06-22T00:00:00"/>
        <d v="2026-08-28T00:00:00"/>
        <d v="2026-01-14T00:00:00"/>
        <d v="2026-04-04T00:00:00"/>
        <d v="2026-04-19T00:00:00"/>
        <d v="2026-05-23T00:00:00"/>
        <d v="2026-02-11T00:00:00"/>
        <d v="2026-01-27T00:00:00"/>
        <d v="2026-04-22T00:00:00"/>
        <d v="2026-02-28T00:00:00"/>
        <d v="2026-02-25T00:00:00"/>
        <d v="2026-07-12T00:00:00"/>
        <d v="2026-05-05T00:00:00"/>
        <d v="2026-01-22T00:00:00"/>
        <d v="2026-02-05T00:00:00"/>
        <d v="2026-01-07T00:00:00"/>
        <d v="2026-08-11T00:00:00"/>
        <d v="2026-09-05T00:00:00"/>
        <d v="2026-06-15T00:00:00"/>
        <d v="2026-05-13T00:00:00"/>
        <d v="2026-01-06T00:00:00"/>
        <d v="2026-08-18T00:00:00"/>
        <d v="2026-07-27T00:00:00"/>
        <d v="2026-07-08T00:00:00"/>
        <d v="2026-09-26T00:00:00"/>
        <d v="2026-04-10T00:00:00"/>
        <d v="2026-09-09T00:00:00"/>
        <d v="2026-04-05T00:00:00"/>
        <d v="2026-01-28T00:00:00"/>
        <d v="2026-02-13T00:00:00"/>
        <d v="2026-04-26T00:00:00"/>
        <d v="2026-08-19T00:00:00"/>
        <d v="2026-02-20T00:00:00"/>
        <d v="2026-05-30T00:00:00"/>
        <d v="2026-03-18T00:00:00"/>
        <d v="2026-03-26T00:00:00"/>
        <d v="2026-03-05T00:00:00"/>
        <d v="2026-09-14T00:00:00"/>
        <d v="2026-02-16T00:00:00"/>
        <d v="2026-05-18T00:00:00"/>
        <d v="2026-06-20T00:00:00"/>
        <d v="2026-07-25T00:00:00"/>
        <d v="2026-03-01T00:00:00"/>
        <d v="2026-01-01T00:00:00"/>
        <d v="2026-07-31T00:00:00"/>
        <d v="2026-04-15T00:00:00"/>
        <d v="2026-08-13T00:00:00"/>
        <d v="2026-01-15T00:00:00"/>
        <d v="2026-03-23T00:00:00"/>
        <d v="2026-07-28T00:00:00"/>
        <d v="2026-03-02T00:00:00"/>
        <d v="2026-03-16T00:00:00"/>
        <d v="2026-03-11T00:00:00"/>
        <d v="2026-09-08T00:00:00"/>
        <d v="2026-03-19T00:00:00"/>
        <d v="2026-08-14T00:00:00"/>
        <d v="2026-03-15T00:00:00"/>
        <d v="2026-06-18T00:00:00"/>
        <d v="2026-05-28T00:00:00"/>
        <d v="2026-03-31T00:00:00"/>
        <d v="2026-09-12T00:00:00"/>
        <d v="2026-02-07T00:00:00"/>
        <d v="2026-05-02T00:00:00"/>
        <d v="2026-07-22T00:00:00"/>
        <d v="2026-07-06T00:00:00"/>
        <d v="2026-07-07T00:00:00"/>
        <d v="2026-06-17T00:00:00"/>
        <d v="2026-08-26T00:00:00"/>
        <d v="2026-09-10T00:00:00"/>
        <d v="2026-05-24T00:00:00"/>
        <d v="2026-08-16T00:00:00"/>
        <d v="2026-07-03T00:00:00"/>
        <d v="2026-03-04T00:00:00"/>
        <d v="2026-01-11T00:00:00"/>
        <d v="2026-04-16T00:00:00"/>
        <d v="2026-04-21T00:00:00"/>
        <d v="2026-01-09T00:00:00"/>
        <d v="2026-01-23T00:00:00"/>
        <d v="2026-09-03T00:00:00"/>
        <d v="2026-06-16T00:00:00"/>
        <d v="2026-06-23T00:00:00"/>
        <d v="2026-03-20T00:00:00"/>
        <d v="2026-07-10T00:00:00"/>
        <d v="2026-04-03T00:00:00"/>
        <d v="2026-03-22T00:00:00"/>
        <d v="2026-08-15T00:00:00"/>
        <d v="2026-07-23T00:00:00"/>
        <d v="2026-01-10T00:00:00"/>
        <d v="2026-05-29T00:00:00"/>
        <d v="2026-02-15T00:00:00"/>
        <d v="2026-06-08T00:00:00"/>
        <d v="2026-05-01T00:00:00"/>
        <d v="2026-03-30T00:00:00"/>
        <d v="2026-04-01T00:00:00"/>
        <d v="2026-01-20T00:00:00"/>
        <d v="2026-03-14T00:00:00"/>
        <d v="2026-03-08T00:00:00"/>
        <d v="2026-09-27T00:00:00"/>
        <d v="2026-03-25T00:00:00"/>
        <d v="2026-01-03T00:00:00"/>
        <d v="2026-08-02T00:00:00"/>
        <d v="2026-03-10T00:00:00"/>
        <d v="2026-05-31T00:00:00"/>
      </sharedItems>
      <fieldGroup par="9"/>
    </cacheField>
    <cacheField name="BuchungsID" numFmtId="0">
      <sharedItems/>
    </cacheField>
    <cacheField name="Sportart" numFmtId="0">
      <sharedItems count="21">
        <s v="Yoga"/>
        <s v="Karate"/>
        <s v="Turnen"/>
        <s v="Bogensport"/>
        <s v="Walking"/>
        <s v="Wandern"/>
        <s v="Groupfitness"/>
        <s v="Handball"/>
        <s v="Cheerleading"/>
        <s v="Leichtathletik"/>
        <s v="Hockey"/>
        <s v="Tanz"/>
        <s v="Parkour"/>
        <s v="Padel-Tennis"/>
        <s v="Fechten"/>
        <s v="Triathlon"/>
        <s v="Tischkicker"/>
        <s v="Badminton"/>
        <s v="Tennis"/>
        <s v="Tricking"/>
        <s v="Basketball"/>
      </sharedItems>
    </cacheField>
    <cacheField name="Alter" numFmtId="0">
      <sharedItems containsSemiMixedTypes="0" containsString="0" containsNumber="1" containsInteger="1" minValue="6" maxValue="15" count="10">
        <n v="7"/>
        <n v="9"/>
        <n v="6"/>
        <n v="14"/>
        <n v="10"/>
        <n v="12"/>
        <n v="11"/>
        <n v="15"/>
        <n v="8"/>
        <n v="13"/>
      </sharedItems>
    </cacheField>
    <cacheField name="Einzelpreis" numFmtId="0">
      <sharedItems containsSemiMixedTypes="0" containsString="0" containsNumber="1" containsInteger="1" minValue="70" maxValue="120"/>
    </cacheField>
    <cacheField name="Gesamtpreis" numFmtId="0">
      <sharedItems containsSemiMixedTypes="0" containsString="0" containsNumber="1" containsInteger="1" minValue="30" maxValue="120"/>
    </cacheField>
    <cacheField name="Ermäßigung" numFmtId="0">
      <sharedItems containsSemiMixedTypes="0" containsString="0" containsNumber="1" containsInteger="1" minValue="0" maxValue="40" count="5">
        <n v="0"/>
        <n v="30"/>
        <n v="40"/>
        <n v="25"/>
        <n v="20"/>
      </sharedItems>
    </cacheField>
    <cacheField name="MitgliedsNr" numFmtId="0">
      <sharedItems/>
    </cacheField>
    <cacheField name="Tage (Datum)" numFmtId="0" databaseField="0">
      <fieldGroup base="0">
        <rangePr groupBy="days" startDate="2026-01-01T00:00:00" endDate="2026-09-30T00:00:00"/>
        <groupItems count="368">
          <s v="&lt;01.01.2026"/>
          <s v="01. Jan"/>
          <s v="02. Jan"/>
          <s v="03. Jan"/>
          <s v="04. Jan"/>
          <s v="05. Jan"/>
          <s v="06. Jan"/>
          <s v="07. Jan"/>
          <s v="08. Jan"/>
          <s v="09. Jan"/>
          <s v="10. Jan"/>
          <s v="11. Jan"/>
          <s v="12. Jan"/>
          <s v="13. Jan"/>
          <s v="14. Jan"/>
          <s v="15. Jan"/>
          <s v="16. Jan"/>
          <s v="17. Jan"/>
          <s v="18. Jan"/>
          <s v="19. Jan"/>
          <s v="20. Jan"/>
          <s v="21. Jan"/>
          <s v="22. Jan"/>
          <s v="23. Jan"/>
          <s v="24. Jan"/>
          <s v="25. Jan"/>
          <s v="26. Jan"/>
          <s v="27. Jan"/>
          <s v="28. Jan"/>
          <s v="29. Jan"/>
          <s v="30. Jan"/>
          <s v="31. Jan"/>
          <s v="01. Feb"/>
          <s v="02. Feb"/>
          <s v="03. Feb"/>
          <s v="04. Feb"/>
          <s v="05. Feb"/>
          <s v="06. Feb"/>
          <s v="07. Feb"/>
          <s v="08. Feb"/>
          <s v="09. Feb"/>
          <s v="10. Feb"/>
          <s v="11. Feb"/>
          <s v="12. Feb"/>
          <s v="13. Feb"/>
          <s v="14. Feb"/>
          <s v="15. Feb"/>
          <s v="16. Feb"/>
          <s v="17. Feb"/>
          <s v="18. Feb"/>
          <s v="19. Feb"/>
          <s v="20. Feb"/>
          <s v="21. Feb"/>
          <s v="22. Feb"/>
          <s v="23. Feb"/>
          <s v="24. Feb"/>
          <s v="25. Feb"/>
          <s v="26. Feb"/>
          <s v="27. Feb"/>
          <s v="28. Feb"/>
          <s v="29. Feb"/>
          <s v="01. Mrz"/>
          <s v="02. Mrz"/>
          <s v="03. Mrz"/>
          <s v="04. Mrz"/>
          <s v="05. Mrz"/>
          <s v="06. Mrz"/>
          <s v="07. Mrz"/>
          <s v="08. Mrz"/>
          <s v="09. Mrz"/>
          <s v="10. Mrz"/>
          <s v="11. Mrz"/>
          <s v="12. Mrz"/>
          <s v="13. Mrz"/>
          <s v="14. Mrz"/>
          <s v="15. Mrz"/>
          <s v="16. Mrz"/>
          <s v="17. Mrz"/>
          <s v="18. Mrz"/>
          <s v="19. Mrz"/>
          <s v="20. Mrz"/>
          <s v="21. Mrz"/>
          <s v="22. Mrz"/>
          <s v="23. Mrz"/>
          <s v="24. Mrz"/>
          <s v="25. Mrz"/>
          <s v="26. Mrz"/>
          <s v="27. Mrz"/>
          <s v="28. Mrz"/>
          <s v="29. Mrz"/>
          <s v="30. Mrz"/>
          <s v="31. Mrz"/>
          <s v="01. Apr"/>
          <s v="02. Apr"/>
          <s v="03. Apr"/>
          <s v="04. Apr"/>
          <s v="05. Apr"/>
          <s v="06. Apr"/>
          <s v="07. Apr"/>
          <s v="08. Apr"/>
          <s v="09. Apr"/>
          <s v="10. Apr"/>
          <s v="11. Apr"/>
          <s v="12. Apr"/>
          <s v="13. Apr"/>
          <s v="14. Apr"/>
          <s v="15. Apr"/>
          <s v="16. Apr"/>
          <s v="17. Apr"/>
          <s v="18. Apr"/>
          <s v="19. Apr"/>
          <s v="20. Apr"/>
          <s v="21. Apr"/>
          <s v="22. Apr"/>
          <s v="23. Apr"/>
          <s v="24. Apr"/>
          <s v="25. Apr"/>
          <s v="26. Apr"/>
          <s v="27. Apr"/>
          <s v="28. Apr"/>
          <s v="29. Apr"/>
          <s v="30. Apr"/>
          <s v="01. Mai"/>
          <s v="02. Mai"/>
          <s v="03. Mai"/>
          <s v="04. Mai"/>
          <s v="05. Mai"/>
          <s v="06. Mai"/>
          <s v="07. Mai"/>
          <s v="08. Mai"/>
          <s v="09. Mai"/>
          <s v="10. Mai"/>
          <s v="11. Mai"/>
          <s v="12. Mai"/>
          <s v="13. Mai"/>
          <s v="14. Mai"/>
          <s v="15. Mai"/>
          <s v="16. Mai"/>
          <s v="17. Mai"/>
          <s v="18. Mai"/>
          <s v="19. Mai"/>
          <s v="20. Mai"/>
          <s v="21. Mai"/>
          <s v="22. Mai"/>
          <s v="23. Mai"/>
          <s v="24. Mai"/>
          <s v="25. Mai"/>
          <s v="26. Mai"/>
          <s v="27. Mai"/>
          <s v="28. Mai"/>
          <s v="29. Mai"/>
          <s v="30. Mai"/>
          <s v="31. Mai"/>
          <s v="01. Jun"/>
          <s v="02. Jun"/>
          <s v="03. Jun"/>
          <s v="04. Jun"/>
          <s v="05. Jun"/>
          <s v="06. Jun"/>
          <s v="07. Jun"/>
          <s v="08. Jun"/>
          <s v="09. Jun"/>
          <s v="10. Jun"/>
          <s v="11. Jun"/>
          <s v="12. Jun"/>
          <s v="13. Jun"/>
          <s v="14. Jun"/>
          <s v="15. Jun"/>
          <s v="16. Jun"/>
          <s v="17. Jun"/>
          <s v="18. Jun"/>
          <s v="19. Jun"/>
          <s v="20. Jun"/>
          <s v="21. Jun"/>
          <s v="22. Jun"/>
          <s v="23. Jun"/>
          <s v="24. Jun"/>
          <s v="25. Jun"/>
          <s v="26. Jun"/>
          <s v="27. Jun"/>
          <s v="28. Jun"/>
          <s v="29. Jun"/>
          <s v="30. Jun"/>
          <s v="01. Jul"/>
          <s v="02. Jul"/>
          <s v="03. Jul"/>
          <s v="04. Jul"/>
          <s v="05. Jul"/>
          <s v="06. Jul"/>
          <s v="07. Jul"/>
          <s v="08. Jul"/>
          <s v="09. Jul"/>
          <s v="10. Jul"/>
          <s v="11. Jul"/>
          <s v="12. Jul"/>
          <s v="13. Jul"/>
          <s v="14. Jul"/>
          <s v="15. Jul"/>
          <s v="16. Jul"/>
          <s v="17. Jul"/>
          <s v="18. Jul"/>
          <s v="19. Jul"/>
          <s v="20. Jul"/>
          <s v="21. Jul"/>
          <s v="22. Jul"/>
          <s v="23. Jul"/>
          <s v="24. Jul"/>
          <s v="25. Jul"/>
          <s v="26. Jul"/>
          <s v="27. Jul"/>
          <s v="28. Jul"/>
          <s v="29. Jul"/>
          <s v="30. Jul"/>
          <s v="31. Jul"/>
          <s v="01. Aug"/>
          <s v="02. Aug"/>
          <s v="03. Aug"/>
          <s v="04. Aug"/>
          <s v="05. Aug"/>
          <s v="06. Aug"/>
          <s v="07. Aug"/>
          <s v="08. Aug"/>
          <s v="09. Aug"/>
          <s v="10. Aug"/>
          <s v="11. Aug"/>
          <s v="12. Aug"/>
          <s v="13. Aug"/>
          <s v="14. Aug"/>
          <s v="15. Aug"/>
          <s v="16. Aug"/>
          <s v="17. Aug"/>
          <s v="18. Aug"/>
          <s v="19. Aug"/>
          <s v="20. Aug"/>
          <s v="21. Aug"/>
          <s v="22. Aug"/>
          <s v="23. Aug"/>
          <s v="24. Aug"/>
          <s v="25. Aug"/>
          <s v="26. Aug"/>
          <s v="27. Aug"/>
          <s v="28. Aug"/>
          <s v="29. Aug"/>
          <s v="30. Aug"/>
          <s v="31. Aug"/>
          <s v="01. Sep"/>
          <s v="02. Sep"/>
          <s v="03. Sep"/>
          <s v="04. Sep"/>
          <s v="05. Sep"/>
          <s v="06. Sep"/>
          <s v="07. Sep"/>
          <s v="08. Sep"/>
          <s v="09. Sep"/>
          <s v="10. Sep"/>
          <s v="11. Sep"/>
          <s v="12. Sep"/>
          <s v="13. Sep"/>
          <s v="14. Sep"/>
          <s v="15. Sep"/>
          <s v="16. Sep"/>
          <s v="17. Sep"/>
          <s v="18. Sep"/>
          <s v="19. Sep"/>
          <s v="20. Sep"/>
          <s v="21. Sep"/>
          <s v="22. Sep"/>
          <s v="23. Sep"/>
          <s v="24. Sep"/>
          <s v="25. Sep"/>
          <s v="26. Sep"/>
          <s v="27. Sep"/>
          <s v="28. Sep"/>
          <s v="29. Sep"/>
          <s v="30. Sep"/>
          <s v="01. Okt"/>
          <s v="02. Okt"/>
          <s v="03. Okt"/>
          <s v="04. Okt"/>
          <s v="05. Okt"/>
          <s v="06. Okt"/>
          <s v="07. Okt"/>
          <s v="08. Okt"/>
          <s v="09. Okt"/>
          <s v="10. Okt"/>
          <s v="11. Okt"/>
          <s v="12. Okt"/>
          <s v="13. Okt"/>
          <s v="14. Okt"/>
          <s v="15. Okt"/>
          <s v="16. Okt"/>
          <s v="17. Okt"/>
          <s v="18. Okt"/>
          <s v="19. Okt"/>
          <s v="20. Okt"/>
          <s v="21. Okt"/>
          <s v="22. Okt"/>
          <s v="23. Okt"/>
          <s v="24. Okt"/>
          <s v="25. Okt"/>
          <s v="26. Okt"/>
          <s v="27. Okt"/>
          <s v="28. Okt"/>
          <s v="29. Okt"/>
          <s v="30. Okt"/>
          <s v="31. Okt"/>
          <s v="01. Nov"/>
          <s v="02. Nov"/>
          <s v="03. Nov"/>
          <s v="04. Nov"/>
          <s v="05. Nov"/>
          <s v="06. Nov"/>
          <s v="07. Nov"/>
          <s v="08. Nov"/>
          <s v="09. Nov"/>
          <s v="10. Nov"/>
          <s v="11. Nov"/>
          <s v="12. Nov"/>
          <s v="13. Nov"/>
          <s v="14. Nov"/>
          <s v="15. Nov"/>
          <s v="16. Nov"/>
          <s v="17. Nov"/>
          <s v="18. Nov"/>
          <s v="19. Nov"/>
          <s v="20. Nov"/>
          <s v="21. Nov"/>
          <s v="22. Nov"/>
          <s v="23. Nov"/>
          <s v="24. Nov"/>
          <s v="25. Nov"/>
          <s v="26. Nov"/>
          <s v="27. Nov"/>
          <s v="28. Nov"/>
          <s v="29. Nov"/>
          <s v="30. Nov"/>
          <s v="01. Dez"/>
          <s v="02. Dez"/>
          <s v="03. Dez"/>
          <s v="04. Dez"/>
          <s v="05. Dez"/>
          <s v="06. Dez"/>
          <s v="07. Dez"/>
          <s v="08. Dez"/>
          <s v="09. Dez"/>
          <s v="10. Dez"/>
          <s v="11. Dez"/>
          <s v="12. Dez"/>
          <s v="13. Dez"/>
          <s v="14. Dez"/>
          <s v="15. Dez"/>
          <s v="16. Dez"/>
          <s v="17. Dez"/>
          <s v="18. Dez"/>
          <s v="19. Dez"/>
          <s v="20. Dez"/>
          <s v="21. Dez"/>
          <s v="22. Dez"/>
          <s v="23. Dez"/>
          <s v="24. Dez"/>
          <s v="25. Dez"/>
          <s v="26. Dez"/>
          <s v="27. Dez"/>
          <s v="28. Dez"/>
          <s v="29. Dez"/>
          <s v="30. Dez"/>
          <s v="31. Dez"/>
          <s v="&gt;30.09.2026"/>
        </groupItems>
      </fieldGroup>
    </cacheField>
    <cacheField name="Monate (Datum)" numFmtId="0" databaseField="0">
      <fieldGroup base="0">
        <rangePr groupBy="months" startDate="2026-01-01T00:00:00" endDate="2026-09-30T00:00:00"/>
        <groupItems count="14">
          <s v="&lt;01.01.2026"/>
          <s v="Jan"/>
          <s v="Feb"/>
          <s v="Mrz"/>
          <s v="Apr"/>
          <s v="Mai"/>
          <s v="Jun"/>
          <s v="Jul"/>
          <s v="Aug"/>
          <s v="Sep"/>
          <s v="Okt"/>
          <s v="Nov"/>
          <s v="Dez"/>
          <s v="&gt;30.09.2026"/>
        </groupItems>
      </fieldGroup>
    </cacheField>
  </cacheFields>
  <extLst>
    <ext xmlns:x14="http://schemas.microsoft.com/office/spreadsheetml/2009/9/main" uri="{725AE2AE-9491-48be-B2B4-4EB974FC3084}">
      <x14:pivotCacheDefinition pivotCacheId="623330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s v="B0001"/>
    <x v="0"/>
    <x v="0"/>
    <n v="100"/>
    <n v="100"/>
    <x v="0"/>
    <s v=""/>
  </r>
  <r>
    <x v="1"/>
    <s v="B0002"/>
    <x v="1"/>
    <x v="1"/>
    <n v="90"/>
    <n v="60"/>
    <x v="1"/>
    <s v="M1027"/>
  </r>
  <r>
    <x v="2"/>
    <s v="B0003"/>
    <x v="2"/>
    <x v="0"/>
    <n v="80"/>
    <n v="50"/>
    <x v="1"/>
    <s v="M1008"/>
  </r>
  <r>
    <x v="3"/>
    <s v="B0004"/>
    <x v="3"/>
    <x v="1"/>
    <n v="100"/>
    <n v="100"/>
    <x v="0"/>
    <s v=""/>
  </r>
  <r>
    <x v="4"/>
    <s v="B0005"/>
    <x v="4"/>
    <x v="2"/>
    <n v="120"/>
    <n v="120"/>
    <x v="0"/>
    <s v=""/>
  </r>
  <r>
    <x v="5"/>
    <s v="B0006"/>
    <x v="0"/>
    <x v="3"/>
    <n v="100"/>
    <n v="70"/>
    <x v="1"/>
    <s v="M1115"/>
  </r>
  <r>
    <x v="6"/>
    <s v="B0007"/>
    <x v="5"/>
    <x v="4"/>
    <n v="120"/>
    <n v="120"/>
    <x v="0"/>
    <s v=""/>
  </r>
  <r>
    <x v="7"/>
    <s v="B0008"/>
    <x v="6"/>
    <x v="5"/>
    <n v="70"/>
    <n v="30"/>
    <x v="2"/>
    <s v="M1040"/>
  </r>
  <r>
    <x v="8"/>
    <s v="B0009"/>
    <x v="7"/>
    <x v="6"/>
    <n v="90"/>
    <n v="60"/>
    <x v="1"/>
    <s v="M1098"/>
  </r>
  <r>
    <x v="9"/>
    <s v="B0010"/>
    <x v="8"/>
    <x v="6"/>
    <n v="90"/>
    <n v="90"/>
    <x v="0"/>
    <s v=""/>
  </r>
  <r>
    <x v="10"/>
    <s v="B0011"/>
    <x v="1"/>
    <x v="2"/>
    <n v="90"/>
    <n v="90"/>
    <x v="0"/>
    <s v=""/>
  </r>
  <r>
    <x v="11"/>
    <s v="B0012"/>
    <x v="8"/>
    <x v="5"/>
    <n v="90"/>
    <n v="90"/>
    <x v="0"/>
    <s v=""/>
  </r>
  <r>
    <x v="12"/>
    <s v="B0013"/>
    <x v="9"/>
    <x v="7"/>
    <n v="80"/>
    <n v="80"/>
    <x v="0"/>
    <s v=""/>
  </r>
  <r>
    <x v="13"/>
    <s v="B0014"/>
    <x v="7"/>
    <x v="0"/>
    <n v="90"/>
    <n v="90"/>
    <x v="0"/>
    <s v=""/>
  </r>
  <r>
    <x v="11"/>
    <s v="B0015"/>
    <x v="10"/>
    <x v="4"/>
    <n v="120"/>
    <n v="95"/>
    <x v="3"/>
    <s v="M1026"/>
  </r>
  <r>
    <x v="14"/>
    <s v="B0016"/>
    <x v="11"/>
    <x v="4"/>
    <n v="90"/>
    <n v="90"/>
    <x v="0"/>
    <s v=""/>
  </r>
  <r>
    <x v="15"/>
    <s v="B0017"/>
    <x v="12"/>
    <x v="8"/>
    <n v="90"/>
    <n v="60"/>
    <x v="1"/>
    <s v="M1054"/>
  </r>
  <r>
    <x v="16"/>
    <s v="B0018"/>
    <x v="1"/>
    <x v="0"/>
    <n v="90"/>
    <n v="90"/>
    <x v="0"/>
    <s v=""/>
  </r>
  <r>
    <x v="17"/>
    <s v="B0019"/>
    <x v="10"/>
    <x v="8"/>
    <n v="120"/>
    <n v="95"/>
    <x v="3"/>
    <s v="M1070"/>
  </r>
  <r>
    <x v="18"/>
    <s v="B0020"/>
    <x v="0"/>
    <x v="3"/>
    <n v="100"/>
    <n v="100"/>
    <x v="0"/>
    <s v=""/>
  </r>
  <r>
    <x v="19"/>
    <s v="B0021"/>
    <x v="13"/>
    <x v="2"/>
    <n v="120"/>
    <n v="90"/>
    <x v="1"/>
    <s v="M1081"/>
  </r>
  <r>
    <x v="20"/>
    <s v="B0022"/>
    <x v="11"/>
    <x v="4"/>
    <n v="90"/>
    <n v="60"/>
    <x v="1"/>
    <s v="M1146"/>
  </r>
  <r>
    <x v="21"/>
    <s v="B0023"/>
    <x v="13"/>
    <x v="1"/>
    <n v="120"/>
    <n v="90"/>
    <x v="1"/>
    <s v="M1118"/>
  </r>
  <r>
    <x v="22"/>
    <s v="B0024"/>
    <x v="14"/>
    <x v="4"/>
    <n v="90"/>
    <n v="65"/>
    <x v="3"/>
    <s v="M1144"/>
  </r>
  <r>
    <x v="23"/>
    <s v="B0025"/>
    <x v="2"/>
    <x v="4"/>
    <n v="80"/>
    <n v="80"/>
    <x v="0"/>
    <s v=""/>
  </r>
  <r>
    <x v="18"/>
    <s v="B0026"/>
    <x v="11"/>
    <x v="6"/>
    <n v="90"/>
    <n v="60"/>
    <x v="1"/>
    <s v="M1131"/>
  </r>
  <r>
    <x v="24"/>
    <s v="B0027"/>
    <x v="15"/>
    <x v="0"/>
    <n v="100"/>
    <n v="80"/>
    <x v="4"/>
    <s v="M1040"/>
  </r>
  <r>
    <x v="2"/>
    <s v="B0028"/>
    <x v="0"/>
    <x v="8"/>
    <n v="100"/>
    <n v="100"/>
    <x v="0"/>
    <s v=""/>
  </r>
  <r>
    <x v="25"/>
    <s v="B0029"/>
    <x v="3"/>
    <x v="5"/>
    <n v="100"/>
    <n v="100"/>
    <x v="0"/>
    <s v=""/>
  </r>
  <r>
    <x v="26"/>
    <s v="B0030"/>
    <x v="16"/>
    <x v="3"/>
    <n v="100"/>
    <n v="100"/>
    <x v="0"/>
    <s v=""/>
  </r>
  <r>
    <x v="27"/>
    <s v="B0031"/>
    <x v="17"/>
    <x v="0"/>
    <n v="90"/>
    <n v="90"/>
    <x v="0"/>
    <s v=""/>
  </r>
  <r>
    <x v="28"/>
    <s v="B0032"/>
    <x v="0"/>
    <x v="6"/>
    <n v="100"/>
    <n v="70"/>
    <x v="1"/>
    <s v="M1112"/>
  </r>
  <r>
    <x v="29"/>
    <s v="B0033"/>
    <x v="6"/>
    <x v="9"/>
    <n v="70"/>
    <n v="70"/>
    <x v="0"/>
    <s v=""/>
  </r>
  <r>
    <x v="30"/>
    <s v="B0034"/>
    <x v="1"/>
    <x v="3"/>
    <n v="90"/>
    <n v="90"/>
    <x v="0"/>
    <s v=""/>
  </r>
  <r>
    <x v="31"/>
    <s v="B0035"/>
    <x v="8"/>
    <x v="4"/>
    <n v="90"/>
    <n v="90"/>
    <x v="0"/>
    <s v=""/>
  </r>
  <r>
    <x v="32"/>
    <s v="B0036"/>
    <x v="7"/>
    <x v="8"/>
    <n v="90"/>
    <n v="90"/>
    <x v="0"/>
    <s v=""/>
  </r>
  <r>
    <x v="33"/>
    <s v="B0037"/>
    <x v="6"/>
    <x v="3"/>
    <n v="70"/>
    <n v="30"/>
    <x v="2"/>
    <s v="M1083"/>
  </r>
  <r>
    <x v="28"/>
    <s v="B0038"/>
    <x v="15"/>
    <x v="2"/>
    <n v="100"/>
    <n v="80"/>
    <x v="4"/>
    <s v="M1079"/>
  </r>
  <r>
    <x v="34"/>
    <s v="B0039"/>
    <x v="10"/>
    <x v="2"/>
    <n v="120"/>
    <n v="120"/>
    <x v="0"/>
    <s v=""/>
  </r>
  <r>
    <x v="35"/>
    <s v="B0040"/>
    <x v="3"/>
    <x v="0"/>
    <n v="100"/>
    <n v="60"/>
    <x v="2"/>
    <s v="M1137"/>
  </r>
  <r>
    <x v="36"/>
    <s v="B0041"/>
    <x v="14"/>
    <x v="8"/>
    <n v="90"/>
    <n v="90"/>
    <x v="0"/>
    <s v=""/>
  </r>
  <r>
    <x v="37"/>
    <s v="B0042"/>
    <x v="6"/>
    <x v="4"/>
    <n v="70"/>
    <n v="70"/>
    <x v="0"/>
    <s v=""/>
  </r>
  <r>
    <x v="38"/>
    <s v="B0043"/>
    <x v="18"/>
    <x v="1"/>
    <n v="120"/>
    <n v="120"/>
    <x v="0"/>
    <s v=""/>
  </r>
  <r>
    <x v="32"/>
    <s v="B0044"/>
    <x v="9"/>
    <x v="5"/>
    <n v="80"/>
    <n v="40"/>
    <x v="2"/>
    <s v="M1133"/>
  </r>
  <r>
    <x v="39"/>
    <s v="B0045"/>
    <x v="16"/>
    <x v="0"/>
    <n v="100"/>
    <n v="70"/>
    <x v="1"/>
    <s v="M1017"/>
  </r>
  <r>
    <x v="19"/>
    <s v="B0046"/>
    <x v="13"/>
    <x v="2"/>
    <n v="120"/>
    <n v="120"/>
    <x v="0"/>
    <s v=""/>
  </r>
  <r>
    <x v="40"/>
    <s v="B0047"/>
    <x v="10"/>
    <x v="2"/>
    <n v="120"/>
    <n v="120"/>
    <x v="0"/>
    <s v=""/>
  </r>
  <r>
    <x v="19"/>
    <s v="B0048"/>
    <x v="0"/>
    <x v="2"/>
    <n v="100"/>
    <n v="70"/>
    <x v="1"/>
    <s v="M1009"/>
  </r>
  <r>
    <x v="41"/>
    <s v="B0049"/>
    <x v="13"/>
    <x v="0"/>
    <n v="120"/>
    <n v="90"/>
    <x v="1"/>
    <s v="M1072"/>
  </r>
  <r>
    <x v="42"/>
    <s v="B0050"/>
    <x v="15"/>
    <x v="1"/>
    <n v="100"/>
    <n v="100"/>
    <x v="0"/>
    <s v=""/>
  </r>
  <r>
    <x v="43"/>
    <s v="B0051"/>
    <x v="5"/>
    <x v="7"/>
    <n v="120"/>
    <n v="80"/>
    <x v="2"/>
    <s v="M1122"/>
  </r>
  <r>
    <x v="44"/>
    <s v="B0052"/>
    <x v="18"/>
    <x v="1"/>
    <n v="120"/>
    <n v="100"/>
    <x v="4"/>
    <s v="M1111"/>
  </r>
  <r>
    <x v="45"/>
    <s v="B0053"/>
    <x v="12"/>
    <x v="5"/>
    <n v="90"/>
    <n v="60"/>
    <x v="1"/>
    <s v="M1014"/>
  </r>
  <r>
    <x v="46"/>
    <s v="B0054"/>
    <x v="0"/>
    <x v="0"/>
    <n v="100"/>
    <n v="70"/>
    <x v="1"/>
    <s v="M1087"/>
  </r>
  <r>
    <x v="47"/>
    <s v="B0055"/>
    <x v="8"/>
    <x v="1"/>
    <n v="90"/>
    <n v="60"/>
    <x v="1"/>
    <s v="M1138"/>
  </r>
  <r>
    <x v="2"/>
    <s v="B0056"/>
    <x v="16"/>
    <x v="8"/>
    <n v="100"/>
    <n v="70"/>
    <x v="1"/>
    <s v="M1072"/>
  </r>
  <r>
    <x v="48"/>
    <s v="B0057"/>
    <x v="16"/>
    <x v="1"/>
    <n v="100"/>
    <n v="70"/>
    <x v="1"/>
    <s v="M1141"/>
  </r>
  <r>
    <x v="49"/>
    <s v="B0058"/>
    <x v="8"/>
    <x v="2"/>
    <n v="90"/>
    <n v="60"/>
    <x v="1"/>
    <s v="M1061"/>
  </r>
  <r>
    <x v="35"/>
    <s v="B0059"/>
    <x v="6"/>
    <x v="5"/>
    <n v="70"/>
    <n v="70"/>
    <x v="0"/>
    <s v=""/>
  </r>
  <r>
    <x v="50"/>
    <s v="B0060"/>
    <x v="7"/>
    <x v="5"/>
    <n v="90"/>
    <n v="60"/>
    <x v="1"/>
    <s v="M1098"/>
  </r>
  <r>
    <x v="51"/>
    <s v="B0061"/>
    <x v="17"/>
    <x v="5"/>
    <n v="90"/>
    <n v="50"/>
    <x v="2"/>
    <s v="M1074"/>
  </r>
  <r>
    <x v="52"/>
    <s v="B0062"/>
    <x v="18"/>
    <x v="3"/>
    <n v="120"/>
    <n v="100"/>
    <x v="4"/>
    <s v="M1049"/>
  </r>
  <r>
    <x v="53"/>
    <s v="B0063"/>
    <x v="9"/>
    <x v="1"/>
    <n v="80"/>
    <n v="80"/>
    <x v="0"/>
    <s v=""/>
  </r>
  <r>
    <x v="54"/>
    <s v="B0064"/>
    <x v="2"/>
    <x v="2"/>
    <n v="80"/>
    <n v="50"/>
    <x v="1"/>
    <s v="M1013"/>
  </r>
  <r>
    <x v="55"/>
    <s v="B0065"/>
    <x v="5"/>
    <x v="9"/>
    <n v="120"/>
    <n v="120"/>
    <x v="0"/>
    <s v=""/>
  </r>
  <r>
    <x v="56"/>
    <s v="B0066"/>
    <x v="6"/>
    <x v="2"/>
    <n v="70"/>
    <n v="30"/>
    <x v="2"/>
    <s v="M1048"/>
  </r>
  <r>
    <x v="57"/>
    <s v="B0067"/>
    <x v="3"/>
    <x v="7"/>
    <n v="100"/>
    <n v="100"/>
    <x v="0"/>
    <s v=""/>
  </r>
  <r>
    <x v="58"/>
    <s v="B0068"/>
    <x v="10"/>
    <x v="5"/>
    <n v="120"/>
    <n v="120"/>
    <x v="0"/>
    <s v=""/>
  </r>
  <r>
    <x v="59"/>
    <s v="B0069"/>
    <x v="10"/>
    <x v="7"/>
    <n v="120"/>
    <n v="120"/>
    <x v="0"/>
    <s v=""/>
  </r>
  <r>
    <x v="60"/>
    <s v="B0070"/>
    <x v="3"/>
    <x v="5"/>
    <n v="100"/>
    <n v="60"/>
    <x v="2"/>
    <s v="M1067"/>
  </r>
  <r>
    <x v="61"/>
    <s v="B0071"/>
    <x v="7"/>
    <x v="6"/>
    <n v="90"/>
    <n v="60"/>
    <x v="1"/>
    <s v="M1102"/>
  </r>
  <r>
    <x v="62"/>
    <s v="B0072"/>
    <x v="14"/>
    <x v="4"/>
    <n v="90"/>
    <n v="65"/>
    <x v="3"/>
    <s v="M1019"/>
  </r>
  <r>
    <x v="63"/>
    <s v="B0073"/>
    <x v="17"/>
    <x v="9"/>
    <n v="90"/>
    <n v="50"/>
    <x v="2"/>
    <s v="M1138"/>
  </r>
  <r>
    <x v="51"/>
    <s v="B0074"/>
    <x v="7"/>
    <x v="3"/>
    <n v="90"/>
    <n v="60"/>
    <x v="1"/>
    <s v="M1090"/>
  </r>
  <r>
    <x v="15"/>
    <s v="B0075"/>
    <x v="3"/>
    <x v="1"/>
    <n v="100"/>
    <n v="60"/>
    <x v="2"/>
    <s v="M1041"/>
  </r>
  <r>
    <x v="64"/>
    <s v="B0076"/>
    <x v="16"/>
    <x v="3"/>
    <n v="100"/>
    <n v="100"/>
    <x v="0"/>
    <s v=""/>
  </r>
  <r>
    <x v="65"/>
    <s v="B0077"/>
    <x v="0"/>
    <x v="3"/>
    <n v="100"/>
    <n v="100"/>
    <x v="0"/>
    <s v=""/>
  </r>
  <r>
    <x v="66"/>
    <s v="B0078"/>
    <x v="2"/>
    <x v="4"/>
    <n v="80"/>
    <n v="50"/>
    <x v="1"/>
    <s v="M1068"/>
  </r>
  <r>
    <x v="67"/>
    <s v="B0079"/>
    <x v="8"/>
    <x v="0"/>
    <n v="90"/>
    <n v="60"/>
    <x v="1"/>
    <s v="M1073"/>
  </r>
  <r>
    <x v="68"/>
    <s v="B0080"/>
    <x v="4"/>
    <x v="1"/>
    <n v="120"/>
    <n v="80"/>
    <x v="2"/>
    <s v="M1068"/>
  </r>
  <r>
    <x v="26"/>
    <s v="B0081"/>
    <x v="19"/>
    <x v="9"/>
    <n v="90"/>
    <n v="70"/>
    <x v="4"/>
    <s v="M1024"/>
  </r>
  <r>
    <x v="69"/>
    <s v="B0082"/>
    <x v="0"/>
    <x v="5"/>
    <n v="100"/>
    <n v="70"/>
    <x v="1"/>
    <s v="M1001"/>
  </r>
  <r>
    <x v="70"/>
    <s v="B0083"/>
    <x v="13"/>
    <x v="8"/>
    <n v="120"/>
    <n v="90"/>
    <x v="1"/>
    <s v="M1114"/>
  </r>
  <r>
    <x v="65"/>
    <s v="B0084"/>
    <x v="2"/>
    <x v="5"/>
    <n v="80"/>
    <n v="50"/>
    <x v="1"/>
    <s v="M1020"/>
  </r>
  <r>
    <x v="71"/>
    <s v="B0085"/>
    <x v="14"/>
    <x v="3"/>
    <n v="90"/>
    <n v="65"/>
    <x v="3"/>
    <s v="M1150"/>
  </r>
  <r>
    <x v="72"/>
    <s v="B0086"/>
    <x v="2"/>
    <x v="8"/>
    <n v="80"/>
    <n v="50"/>
    <x v="1"/>
    <s v="M1011"/>
  </r>
  <r>
    <x v="59"/>
    <s v="B0087"/>
    <x v="9"/>
    <x v="6"/>
    <n v="80"/>
    <n v="40"/>
    <x v="2"/>
    <s v="M1054"/>
  </r>
  <r>
    <x v="73"/>
    <s v="B0088"/>
    <x v="10"/>
    <x v="0"/>
    <n v="120"/>
    <n v="120"/>
    <x v="0"/>
    <s v=""/>
  </r>
  <r>
    <x v="67"/>
    <s v="B0089"/>
    <x v="2"/>
    <x v="5"/>
    <n v="80"/>
    <n v="50"/>
    <x v="1"/>
    <s v="M1042"/>
  </r>
  <r>
    <x v="0"/>
    <s v="B0090"/>
    <x v="6"/>
    <x v="5"/>
    <n v="70"/>
    <n v="30"/>
    <x v="2"/>
    <s v="M1086"/>
  </r>
  <r>
    <x v="27"/>
    <s v="B0091"/>
    <x v="18"/>
    <x v="1"/>
    <n v="120"/>
    <n v="100"/>
    <x v="4"/>
    <s v="M1028"/>
  </r>
  <r>
    <x v="74"/>
    <s v="B0092"/>
    <x v="11"/>
    <x v="2"/>
    <n v="90"/>
    <n v="60"/>
    <x v="1"/>
    <s v="M1052"/>
  </r>
  <r>
    <x v="75"/>
    <s v="B0093"/>
    <x v="16"/>
    <x v="6"/>
    <n v="100"/>
    <n v="70"/>
    <x v="1"/>
    <s v="M1058"/>
  </r>
  <r>
    <x v="76"/>
    <s v="B0094"/>
    <x v="17"/>
    <x v="1"/>
    <n v="90"/>
    <n v="50"/>
    <x v="2"/>
    <s v="M1072"/>
  </r>
  <r>
    <x v="77"/>
    <s v="B0095"/>
    <x v="3"/>
    <x v="4"/>
    <n v="100"/>
    <n v="100"/>
    <x v="0"/>
    <s v=""/>
  </r>
  <r>
    <x v="78"/>
    <s v="B0096"/>
    <x v="19"/>
    <x v="5"/>
    <n v="90"/>
    <n v="70"/>
    <x v="4"/>
    <s v="M1030"/>
  </r>
  <r>
    <x v="51"/>
    <s v="B0097"/>
    <x v="1"/>
    <x v="8"/>
    <n v="90"/>
    <n v="60"/>
    <x v="1"/>
    <s v="M1028"/>
  </r>
  <r>
    <x v="9"/>
    <s v="B0098"/>
    <x v="4"/>
    <x v="5"/>
    <n v="120"/>
    <n v="120"/>
    <x v="0"/>
    <s v=""/>
  </r>
  <r>
    <x v="79"/>
    <s v="B0099"/>
    <x v="13"/>
    <x v="5"/>
    <n v="120"/>
    <n v="90"/>
    <x v="1"/>
    <s v="M1099"/>
  </r>
  <r>
    <x v="80"/>
    <s v="B0100"/>
    <x v="5"/>
    <x v="1"/>
    <n v="120"/>
    <n v="80"/>
    <x v="2"/>
    <s v="M1112"/>
  </r>
  <r>
    <x v="81"/>
    <s v="B0101"/>
    <x v="17"/>
    <x v="3"/>
    <n v="90"/>
    <n v="50"/>
    <x v="2"/>
    <s v="M1111"/>
  </r>
  <r>
    <x v="54"/>
    <s v="B0102"/>
    <x v="3"/>
    <x v="6"/>
    <n v="100"/>
    <n v="100"/>
    <x v="0"/>
    <s v=""/>
  </r>
  <r>
    <x v="31"/>
    <s v="B0103"/>
    <x v="8"/>
    <x v="4"/>
    <n v="90"/>
    <n v="60"/>
    <x v="1"/>
    <s v="M1105"/>
  </r>
  <r>
    <x v="82"/>
    <s v="B0104"/>
    <x v="13"/>
    <x v="5"/>
    <n v="120"/>
    <n v="120"/>
    <x v="0"/>
    <s v=""/>
  </r>
  <r>
    <x v="83"/>
    <s v="B0105"/>
    <x v="14"/>
    <x v="1"/>
    <n v="90"/>
    <n v="90"/>
    <x v="0"/>
    <s v=""/>
  </r>
  <r>
    <x v="64"/>
    <s v="B0106"/>
    <x v="11"/>
    <x v="8"/>
    <n v="90"/>
    <n v="60"/>
    <x v="1"/>
    <s v="M1141"/>
  </r>
  <r>
    <x v="84"/>
    <s v="B0107"/>
    <x v="17"/>
    <x v="4"/>
    <n v="90"/>
    <n v="50"/>
    <x v="2"/>
    <s v="M1111"/>
  </r>
  <r>
    <x v="85"/>
    <s v="B0108"/>
    <x v="5"/>
    <x v="7"/>
    <n v="120"/>
    <n v="80"/>
    <x v="2"/>
    <s v="M1114"/>
  </r>
  <r>
    <x v="79"/>
    <s v="B0109"/>
    <x v="16"/>
    <x v="1"/>
    <n v="100"/>
    <n v="100"/>
    <x v="0"/>
    <s v=""/>
  </r>
  <r>
    <x v="86"/>
    <s v="B0110"/>
    <x v="6"/>
    <x v="0"/>
    <n v="70"/>
    <n v="70"/>
    <x v="0"/>
    <s v=""/>
  </r>
  <r>
    <x v="87"/>
    <s v="B0111"/>
    <x v="0"/>
    <x v="7"/>
    <n v="100"/>
    <n v="70"/>
    <x v="1"/>
    <s v="M1061"/>
  </r>
  <r>
    <x v="4"/>
    <s v="B0112"/>
    <x v="9"/>
    <x v="1"/>
    <n v="80"/>
    <n v="40"/>
    <x v="2"/>
    <s v="M1007"/>
  </r>
  <r>
    <x v="36"/>
    <s v="B0113"/>
    <x v="20"/>
    <x v="1"/>
    <n v="90"/>
    <n v="90"/>
    <x v="0"/>
    <s v=""/>
  </r>
  <r>
    <x v="88"/>
    <s v="B0114"/>
    <x v="3"/>
    <x v="9"/>
    <n v="100"/>
    <n v="100"/>
    <x v="0"/>
    <s v=""/>
  </r>
  <r>
    <x v="89"/>
    <s v="B0115"/>
    <x v="5"/>
    <x v="1"/>
    <n v="120"/>
    <n v="120"/>
    <x v="0"/>
    <s v=""/>
  </r>
  <r>
    <x v="90"/>
    <s v="B0116"/>
    <x v="11"/>
    <x v="1"/>
    <n v="90"/>
    <n v="90"/>
    <x v="0"/>
    <s v=""/>
  </r>
  <r>
    <x v="91"/>
    <s v="B0117"/>
    <x v="17"/>
    <x v="0"/>
    <n v="90"/>
    <n v="50"/>
    <x v="2"/>
    <s v="M1046"/>
  </r>
  <r>
    <x v="92"/>
    <s v="B0118"/>
    <x v="19"/>
    <x v="9"/>
    <n v="90"/>
    <n v="90"/>
    <x v="0"/>
    <s v=""/>
  </r>
  <r>
    <x v="93"/>
    <s v="B0119"/>
    <x v="10"/>
    <x v="0"/>
    <n v="120"/>
    <n v="95"/>
    <x v="3"/>
    <s v="M1119"/>
  </r>
  <r>
    <x v="94"/>
    <s v="B0120"/>
    <x v="19"/>
    <x v="3"/>
    <n v="90"/>
    <n v="90"/>
    <x v="0"/>
    <s v=""/>
  </r>
  <r>
    <x v="95"/>
    <s v="B0121"/>
    <x v="16"/>
    <x v="7"/>
    <n v="100"/>
    <n v="70"/>
    <x v="1"/>
    <s v="M1141"/>
  </r>
  <r>
    <x v="36"/>
    <s v="B0122"/>
    <x v="16"/>
    <x v="8"/>
    <n v="100"/>
    <n v="70"/>
    <x v="1"/>
    <s v="M1067"/>
  </r>
  <r>
    <x v="96"/>
    <s v="B0123"/>
    <x v="10"/>
    <x v="4"/>
    <n v="120"/>
    <n v="120"/>
    <x v="0"/>
    <s v=""/>
  </r>
  <r>
    <x v="97"/>
    <s v="B0124"/>
    <x v="0"/>
    <x v="1"/>
    <n v="100"/>
    <n v="70"/>
    <x v="1"/>
    <s v="M1020"/>
  </r>
  <r>
    <x v="98"/>
    <s v="B0125"/>
    <x v="9"/>
    <x v="1"/>
    <n v="80"/>
    <n v="40"/>
    <x v="2"/>
    <s v="M1082"/>
  </r>
  <r>
    <x v="99"/>
    <s v="B0126"/>
    <x v="2"/>
    <x v="0"/>
    <n v="80"/>
    <n v="50"/>
    <x v="1"/>
    <s v="M1060"/>
  </r>
  <r>
    <x v="100"/>
    <s v="B0127"/>
    <x v="11"/>
    <x v="8"/>
    <n v="90"/>
    <n v="60"/>
    <x v="1"/>
    <s v="M1107"/>
  </r>
  <r>
    <x v="101"/>
    <s v="B0128"/>
    <x v="18"/>
    <x v="6"/>
    <n v="120"/>
    <n v="100"/>
    <x v="4"/>
    <s v="M1016"/>
  </r>
  <r>
    <x v="102"/>
    <s v="B0129"/>
    <x v="7"/>
    <x v="5"/>
    <n v="90"/>
    <n v="90"/>
    <x v="0"/>
    <s v=""/>
  </r>
  <r>
    <x v="103"/>
    <s v="B0130"/>
    <x v="5"/>
    <x v="2"/>
    <n v="120"/>
    <n v="120"/>
    <x v="0"/>
    <s v=""/>
  </r>
  <r>
    <x v="104"/>
    <s v="B0131"/>
    <x v="17"/>
    <x v="6"/>
    <n v="90"/>
    <n v="90"/>
    <x v="0"/>
    <s v=""/>
  </r>
  <r>
    <x v="18"/>
    <s v="B0132"/>
    <x v="11"/>
    <x v="5"/>
    <n v="90"/>
    <n v="90"/>
    <x v="0"/>
    <s v=""/>
  </r>
  <r>
    <x v="105"/>
    <s v="B0133"/>
    <x v="10"/>
    <x v="4"/>
    <n v="120"/>
    <n v="120"/>
    <x v="0"/>
    <s v=""/>
  </r>
  <r>
    <x v="106"/>
    <s v="B0134"/>
    <x v="17"/>
    <x v="5"/>
    <n v="90"/>
    <n v="90"/>
    <x v="0"/>
    <s v=""/>
  </r>
  <r>
    <x v="107"/>
    <s v="B0135"/>
    <x v="11"/>
    <x v="8"/>
    <n v="90"/>
    <n v="60"/>
    <x v="1"/>
    <s v="M1137"/>
  </r>
  <r>
    <x v="108"/>
    <s v="B0136"/>
    <x v="17"/>
    <x v="5"/>
    <n v="90"/>
    <n v="50"/>
    <x v="2"/>
    <s v="M1110"/>
  </r>
  <r>
    <x v="109"/>
    <s v="B0137"/>
    <x v="14"/>
    <x v="9"/>
    <n v="90"/>
    <n v="65"/>
    <x v="3"/>
    <s v="M1067"/>
  </r>
  <r>
    <x v="110"/>
    <s v="B0138"/>
    <x v="11"/>
    <x v="6"/>
    <n v="90"/>
    <n v="60"/>
    <x v="1"/>
    <s v="M1084"/>
  </r>
  <r>
    <x v="111"/>
    <s v="B0139"/>
    <x v="13"/>
    <x v="5"/>
    <n v="120"/>
    <n v="120"/>
    <x v="0"/>
    <s v=""/>
  </r>
  <r>
    <x v="112"/>
    <s v="B0140"/>
    <x v="18"/>
    <x v="4"/>
    <n v="120"/>
    <n v="120"/>
    <x v="0"/>
    <s v=""/>
  </r>
  <r>
    <x v="113"/>
    <s v="B0141"/>
    <x v="17"/>
    <x v="3"/>
    <n v="90"/>
    <n v="50"/>
    <x v="2"/>
    <s v="M1058"/>
  </r>
  <r>
    <x v="59"/>
    <s v="B0142"/>
    <x v="0"/>
    <x v="0"/>
    <n v="100"/>
    <n v="100"/>
    <x v="0"/>
    <s v=""/>
  </r>
  <r>
    <x v="38"/>
    <s v="B0143"/>
    <x v="17"/>
    <x v="1"/>
    <n v="90"/>
    <n v="50"/>
    <x v="2"/>
    <s v="M1040"/>
  </r>
  <r>
    <x v="43"/>
    <s v="B0144"/>
    <x v="10"/>
    <x v="8"/>
    <n v="120"/>
    <n v="120"/>
    <x v="0"/>
    <s v=""/>
  </r>
  <r>
    <x v="114"/>
    <s v="B0145"/>
    <x v="8"/>
    <x v="7"/>
    <n v="90"/>
    <n v="60"/>
    <x v="1"/>
    <s v="M1066"/>
  </r>
  <r>
    <x v="115"/>
    <s v="B0146"/>
    <x v="12"/>
    <x v="8"/>
    <n v="90"/>
    <n v="90"/>
    <x v="0"/>
    <s v=""/>
  </r>
  <r>
    <x v="116"/>
    <s v="B0147"/>
    <x v="6"/>
    <x v="4"/>
    <n v="70"/>
    <n v="70"/>
    <x v="0"/>
    <s v=""/>
  </r>
  <r>
    <x v="117"/>
    <s v="B0148"/>
    <x v="17"/>
    <x v="4"/>
    <n v="90"/>
    <n v="50"/>
    <x v="2"/>
    <s v="M1051"/>
  </r>
  <r>
    <x v="118"/>
    <s v="B0149"/>
    <x v="3"/>
    <x v="7"/>
    <n v="100"/>
    <n v="60"/>
    <x v="2"/>
    <s v="M1078"/>
  </r>
  <r>
    <x v="119"/>
    <s v="B0150"/>
    <x v="4"/>
    <x v="0"/>
    <n v="120"/>
    <n v="80"/>
    <x v="2"/>
    <s v="M1137"/>
  </r>
  <r>
    <x v="120"/>
    <s v="B0151"/>
    <x v="18"/>
    <x v="6"/>
    <n v="120"/>
    <n v="120"/>
    <x v="0"/>
    <s v=""/>
  </r>
  <r>
    <x v="121"/>
    <s v="B0152"/>
    <x v="0"/>
    <x v="6"/>
    <n v="100"/>
    <n v="70"/>
    <x v="1"/>
    <s v="M1126"/>
  </r>
  <r>
    <x v="12"/>
    <s v="B0153"/>
    <x v="8"/>
    <x v="5"/>
    <n v="90"/>
    <n v="90"/>
    <x v="0"/>
    <s v=""/>
  </r>
  <r>
    <x v="122"/>
    <s v="B0154"/>
    <x v="16"/>
    <x v="8"/>
    <n v="100"/>
    <n v="70"/>
    <x v="1"/>
    <s v="M1134"/>
  </r>
  <r>
    <x v="123"/>
    <s v="B0155"/>
    <x v="0"/>
    <x v="4"/>
    <n v="100"/>
    <n v="70"/>
    <x v="1"/>
    <s v="M1112"/>
  </r>
  <r>
    <x v="124"/>
    <s v="B0156"/>
    <x v="5"/>
    <x v="4"/>
    <n v="120"/>
    <n v="80"/>
    <x v="2"/>
    <s v="M1023"/>
  </r>
  <r>
    <x v="118"/>
    <s v="B0157"/>
    <x v="1"/>
    <x v="9"/>
    <n v="90"/>
    <n v="90"/>
    <x v="0"/>
    <s v=""/>
  </r>
  <r>
    <x v="103"/>
    <s v="B0158"/>
    <x v="16"/>
    <x v="7"/>
    <n v="100"/>
    <n v="70"/>
    <x v="1"/>
    <s v="M1008"/>
  </r>
  <r>
    <x v="109"/>
    <s v="B0159"/>
    <x v="15"/>
    <x v="6"/>
    <n v="100"/>
    <n v="100"/>
    <x v="0"/>
    <s v=""/>
  </r>
  <r>
    <x v="125"/>
    <s v="B0160"/>
    <x v="7"/>
    <x v="6"/>
    <n v="90"/>
    <n v="60"/>
    <x v="1"/>
    <s v="M1072"/>
  </r>
  <r>
    <x v="126"/>
    <s v="B0161"/>
    <x v="4"/>
    <x v="4"/>
    <n v="120"/>
    <n v="120"/>
    <x v="0"/>
    <s v=""/>
  </r>
  <r>
    <x v="34"/>
    <s v="B0162"/>
    <x v="7"/>
    <x v="0"/>
    <n v="90"/>
    <n v="90"/>
    <x v="0"/>
    <s v=""/>
  </r>
  <r>
    <x v="34"/>
    <s v="B0163"/>
    <x v="18"/>
    <x v="9"/>
    <n v="120"/>
    <n v="120"/>
    <x v="0"/>
    <s v=""/>
  </r>
  <r>
    <x v="127"/>
    <s v="B0164"/>
    <x v="15"/>
    <x v="9"/>
    <n v="100"/>
    <n v="80"/>
    <x v="4"/>
    <s v="M1024"/>
  </r>
  <r>
    <x v="128"/>
    <s v="B0165"/>
    <x v="9"/>
    <x v="1"/>
    <n v="80"/>
    <n v="80"/>
    <x v="0"/>
    <s v=""/>
  </r>
  <r>
    <x v="129"/>
    <s v="B0166"/>
    <x v="10"/>
    <x v="4"/>
    <n v="120"/>
    <n v="120"/>
    <x v="0"/>
    <s v=""/>
  </r>
  <r>
    <x v="9"/>
    <s v="B0167"/>
    <x v="2"/>
    <x v="3"/>
    <n v="80"/>
    <n v="50"/>
    <x v="1"/>
    <s v="M1141"/>
  </r>
  <r>
    <x v="14"/>
    <s v="B0168"/>
    <x v="13"/>
    <x v="6"/>
    <n v="120"/>
    <n v="90"/>
    <x v="1"/>
    <s v="M1079"/>
  </r>
  <r>
    <x v="58"/>
    <s v="B0169"/>
    <x v="1"/>
    <x v="1"/>
    <n v="90"/>
    <n v="90"/>
    <x v="0"/>
    <s v=""/>
  </r>
  <r>
    <x v="58"/>
    <s v="B0170"/>
    <x v="7"/>
    <x v="6"/>
    <n v="90"/>
    <n v="90"/>
    <x v="0"/>
    <s v=""/>
  </r>
  <r>
    <x v="47"/>
    <s v="B0171"/>
    <x v="2"/>
    <x v="8"/>
    <n v="80"/>
    <n v="50"/>
    <x v="1"/>
    <s v="M1124"/>
  </r>
  <r>
    <x v="130"/>
    <s v="B0172"/>
    <x v="1"/>
    <x v="7"/>
    <n v="90"/>
    <n v="90"/>
    <x v="0"/>
    <s v=""/>
  </r>
  <r>
    <x v="131"/>
    <s v="B0173"/>
    <x v="9"/>
    <x v="0"/>
    <n v="80"/>
    <n v="40"/>
    <x v="2"/>
    <s v="M1059"/>
  </r>
  <r>
    <x v="64"/>
    <s v="B0174"/>
    <x v="12"/>
    <x v="8"/>
    <n v="90"/>
    <n v="60"/>
    <x v="1"/>
    <s v="M1137"/>
  </r>
  <r>
    <x v="13"/>
    <s v="B0175"/>
    <x v="14"/>
    <x v="4"/>
    <n v="90"/>
    <n v="65"/>
    <x v="3"/>
    <s v="M1142"/>
  </r>
  <r>
    <x v="132"/>
    <s v="B0176"/>
    <x v="9"/>
    <x v="8"/>
    <n v="80"/>
    <n v="40"/>
    <x v="2"/>
    <s v="M1004"/>
  </r>
  <r>
    <x v="74"/>
    <s v="B0177"/>
    <x v="5"/>
    <x v="4"/>
    <n v="120"/>
    <n v="120"/>
    <x v="0"/>
    <s v=""/>
  </r>
  <r>
    <x v="133"/>
    <s v="B0178"/>
    <x v="16"/>
    <x v="6"/>
    <n v="100"/>
    <n v="70"/>
    <x v="1"/>
    <s v="M1065"/>
  </r>
  <r>
    <x v="20"/>
    <s v="B0179"/>
    <x v="15"/>
    <x v="0"/>
    <n v="100"/>
    <n v="80"/>
    <x v="4"/>
    <s v="M1126"/>
  </r>
  <r>
    <x v="134"/>
    <s v="B0180"/>
    <x v="3"/>
    <x v="7"/>
    <n v="100"/>
    <n v="60"/>
    <x v="2"/>
    <s v="M1039"/>
  </r>
  <r>
    <x v="135"/>
    <s v="B0181"/>
    <x v="5"/>
    <x v="4"/>
    <n v="120"/>
    <n v="80"/>
    <x v="2"/>
    <s v="M1031"/>
  </r>
  <r>
    <x v="136"/>
    <s v="B0182"/>
    <x v="2"/>
    <x v="5"/>
    <n v="80"/>
    <n v="80"/>
    <x v="0"/>
    <s v=""/>
  </r>
  <r>
    <x v="137"/>
    <s v="B0183"/>
    <x v="19"/>
    <x v="5"/>
    <n v="90"/>
    <n v="70"/>
    <x v="4"/>
    <s v="M1077"/>
  </r>
  <r>
    <x v="75"/>
    <s v="B0184"/>
    <x v="5"/>
    <x v="5"/>
    <n v="120"/>
    <n v="120"/>
    <x v="0"/>
    <s v=""/>
  </r>
  <r>
    <x v="138"/>
    <s v="B0185"/>
    <x v="4"/>
    <x v="2"/>
    <n v="120"/>
    <n v="120"/>
    <x v="0"/>
    <s v=""/>
  </r>
  <r>
    <x v="51"/>
    <s v="B0186"/>
    <x v="7"/>
    <x v="1"/>
    <n v="90"/>
    <n v="90"/>
    <x v="0"/>
    <s v=""/>
  </r>
  <r>
    <x v="61"/>
    <s v="B0187"/>
    <x v="3"/>
    <x v="8"/>
    <n v="100"/>
    <n v="60"/>
    <x v="2"/>
    <s v="M1142"/>
  </r>
  <r>
    <x v="29"/>
    <s v="B0188"/>
    <x v="3"/>
    <x v="8"/>
    <n v="100"/>
    <n v="60"/>
    <x v="2"/>
    <s v="M1116"/>
  </r>
  <r>
    <x v="139"/>
    <s v="B0189"/>
    <x v="4"/>
    <x v="9"/>
    <n v="120"/>
    <n v="80"/>
    <x v="2"/>
    <s v="M1060"/>
  </r>
  <r>
    <x v="14"/>
    <s v="B0190"/>
    <x v="9"/>
    <x v="4"/>
    <n v="80"/>
    <n v="40"/>
    <x v="2"/>
    <s v="M1060"/>
  </r>
  <r>
    <x v="4"/>
    <s v="B0191"/>
    <x v="1"/>
    <x v="7"/>
    <n v="90"/>
    <n v="60"/>
    <x v="1"/>
    <s v="M1030"/>
  </r>
  <r>
    <x v="140"/>
    <s v="B0192"/>
    <x v="2"/>
    <x v="1"/>
    <n v="80"/>
    <n v="50"/>
    <x v="1"/>
    <s v="M1037"/>
  </r>
  <r>
    <x v="141"/>
    <s v="B0193"/>
    <x v="3"/>
    <x v="2"/>
    <n v="100"/>
    <n v="60"/>
    <x v="2"/>
    <s v="M1146"/>
  </r>
  <r>
    <x v="142"/>
    <s v="B0194"/>
    <x v="9"/>
    <x v="9"/>
    <n v="80"/>
    <n v="40"/>
    <x v="2"/>
    <s v="M1078"/>
  </r>
  <r>
    <x v="143"/>
    <s v="B0195"/>
    <x v="11"/>
    <x v="4"/>
    <n v="90"/>
    <n v="90"/>
    <x v="0"/>
    <s v=""/>
  </r>
  <r>
    <x v="112"/>
    <s v="B0196"/>
    <x v="15"/>
    <x v="9"/>
    <n v="100"/>
    <n v="100"/>
    <x v="0"/>
    <s v=""/>
  </r>
  <r>
    <x v="124"/>
    <s v="B0197"/>
    <x v="20"/>
    <x v="5"/>
    <n v="90"/>
    <n v="90"/>
    <x v="0"/>
    <s v=""/>
  </r>
  <r>
    <x v="144"/>
    <s v="B0198"/>
    <x v="1"/>
    <x v="2"/>
    <n v="90"/>
    <n v="60"/>
    <x v="1"/>
    <s v="M1148"/>
  </r>
  <r>
    <x v="145"/>
    <s v="B0199"/>
    <x v="5"/>
    <x v="2"/>
    <n v="120"/>
    <n v="120"/>
    <x v="0"/>
    <s v=""/>
  </r>
  <r>
    <x v="74"/>
    <s v="B0200"/>
    <x v="20"/>
    <x v="8"/>
    <n v="90"/>
    <n v="90"/>
    <x v="0"/>
    <s v=""/>
  </r>
  <r>
    <x v="111"/>
    <s v="B0201"/>
    <x v="0"/>
    <x v="9"/>
    <n v="100"/>
    <n v="70"/>
    <x v="1"/>
    <s v="M1150"/>
  </r>
  <r>
    <x v="144"/>
    <s v="B0202"/>
    <x v="18"/>
    <x v="9"/>
    <n v="120"/>
    <n v="120"/>
    <x v="0"/>
    <s v=""/>
  </r>
  <r>
    <x v="146"/>
    <s v="B0203"/>
    <x v="12"/>
    <x v="5"/>
    <n v="90"/>
    <n v="60"/>
    <x v="1"/>
    <s v="M1027"/>
  </r>
  <r>
    <x v="45"/>
    <s v="B0204"/>
    <x v="6"/>
    <x v="6"/>
    <n v="70"/>
    <n v="70"/>
    <x v="0"/>
    <s v=""/>
  </r>
  <r>
    <x v="147"/>
    <s v="B0205"/>
    <x v="15"/>
    <x v="4"/>
    <n v="100"/>
    <n v="100"/>
    <x v="0"/>
    <s v=""/>
  </r>
  <r>
    <x v="14"/>
    <s v="B0206"/>
    <x v="2"/>
    <x v="2"/>
    <n v="80"/>
    <n v="50"/>
    <x v="1"/>
    <s v="M1081"/>
  </r>
  <r>
    <x v="148"/>
    <s v="B0207"/>
    <x v="1"/>
    <x v="6"/>
    <n v="90"/>
    <n v="90"/>
    <x v="0"/>
    <s v=""/>
  </r>
  <r>
    <x v="149"/>
    <s v="B0208"/>
    <x v="11"/>
    <x v="3"/>
    <n v="90"/>
    <n v="90"/>
    <x v="0"/>
    <s v=""/>
  </r>
  <r>
    <x v="150"/>
    <s v="B0209"/>
    <x v="2"/>
    <x v="9"/>
    <n v="80"/>
    <n v="50"/>
    <x v="1"/>
    <s v="M1049"/>
  </r>
  <r>
    <x v="21"/>
    <s v="B0210"/>
    <x v="19"/>
    <x v="6"/>
    <n v="90"/>
    <n v="90"/>
    <x v="0"/>
    <s v=""/>
  </r>
  <r>
    <x v="151"/>
    <s v="B0211"/>
    <x v="16"/>
    <x v="2"/>
    <n v="100"/>
    <n v="70"/>
    <x v="1"/>
    <s v="M1141"/>
  </r>
  <r>
    <x v="152"/>
    <s v="B0212"/>
    <x v="14"/>
    <x v="4"/>
    <n v="90"/>
    <n v="90"/>
    <x v="0"/>
    <s v=""/>
  </r>
  <r>
    <x v="153"/>
    <s v="B0213"/>
    <x v="15"/>
    <x v="0"/>
    <n v="100"/>
    <n v="100"/>
    <x v="0"/>
    <s v=""/>
  </r>
  <r>
    <x v="154"/>
    <s v="B0214"/>
    <x v="4"/>
    <x v="1"/>
    <n v="120"/>
    <n v="80"/>
    <x v="2"/>
    <s v="M1142"/>
  </r>
  <r>
    <x v="155"/>
    <s v="B0215"/>
    <x v="17"/>
    <x v="3"/>
    <n v="90"/>
    <n v="50"/>
    <x v="2"/>
    <s v="M1058"/>
  </r>
  <r>
    <x v="156"/>
    <s v="B0216"/>
    <x v="8"/>
    <x v="9"/>
    <n v="90"/>
    <n v="90"/>
    <x v="0"/>
    <s v=""/>
  </r>
  <r>
    <x v="139"/>
    <s v="B0217"/>
    <x v="14"/>
    <x v="9"/>
    <n v="90"/>
    <n v="90"/>
    <x v="0"/>
    <s v=""/>
  </r>
  <r>
    <x v="123"/>
    <s v="B0218"/>
    <x v="1"/>
    <x v="5"/>
    <n v="90"/>
    <n v="90"/>
    <x v="0"/>
    <s v=""/>
  </r>
  <r>
    <x v="157"/>
    <s v="B0219"/>
    <x v="10"/>
    <x v="9"/>
    <n v="120"/>
    <n v="95"/>
    <x v="3"/>
    <s v="M1049"/>
  </r>
  <r>
    <x v="158"/>
    <s v="B0220"/>
    <x v="4"/>
    <x v="3"/>
    <n v="120"/>
    <n v="80"/>
    <x v="2"/>
    <s v="M1071"/>
  </r>
  <r>
    <x v="31"/>
    <s v="B0221"/>
    <x v="18"/>
    <x v="6"/>
    <n v="120"/>
    <n v="100"/>
    <x v="4"/>
    <s v="M1001"/>
  </r>
  <r>
    <x v="159"/>
    <s v="B0222"/>
    <x v="9"/>
    <x v="4"/>
    <n v="80"/>
    <n v="40"/>
    <x v="2"/>
    <s v="M1115"/>
  </r>
  <r>
    <x v="9"/>
    <s v="B0223"/>
    <x v="2"/>
    <x v="9"/>
    <n v="80"/>
    <n v="50"/>
    <x v="1"/>
    <s v="M1142"/>
  </r>
  <r>
    <x v="93"/>
    <s v="B0224"/>
    <x v="2"/>
    <x v="5"/>
    <n v="80"/>
    <n v="50"/>
    <x v="1"/>
    <s v="M1049"/>
  </r>
  <r>
    <x v="89"/>
    <s v="B0225"/>
    <x v="10"/>
    <x v="7"/>
    <n v="120"/>
    <n v="95"/>
    <x v="3"/>
    <s v="M1106"/>
  </r>
  <r>
    <x v="43"/>
    <s v="B0226"/>
    <x v="20"/>
    <x v="6"/>
    <n v="90"/>
    <n v="90"/>
    <x v="0"/>
    <s v=""/>
  </r>
  <r>
    <x v="160"/>
    <s v="B0227"/>
    <x v="11"/>
    <x v="5"/>
    <n v="90"/>
    <n v="90"/>
    <x v="0"/>
    <s v=""/>
  </r>
  <r>
    <x v="55"/>
    <s v="B0228"/>
    <x v="20"/>
    <x v="8"/>
    <n v="90"/>
    <n v="90"/>
    <x v="0"/>
    <s v=""/>
  </r>
  <r>
    <x v="161"/>
    <s v="B0229"/>
    <x v="13"/>
    <x v="0"/>
    <n v="120"/>
    <n v="90"/>
    <x v="1"/>
    <s v="M1135"/>
  </r>
  <r>
    <x v="162"/>
    <s v="B0230"/>
    <x v="16"/>
    <x v="2"/>
    <n v="100"/>
    <n v="70"/>
    <x v="1"/>
    <s v="M1040"/>
  </r>
  <r>
    <x v="51"/>
    <s v="B0231"/>
    <x v="3"/>
    <x v="9"/>
    <n v="100"/>
    <n v="60"/>
    <x v="2"/>
    <s v="M1102"/>
  </r>
  <r>
    <x v="163"/>
    <s v="B0232"/>
    <x v="0"/>
    <x v="0"/>
    <n v="100"/>
    <n v="100"/>
    <x v="0"/>
    <s v=""/>
  </r>
  <r>
    <x v="94"/>
    <s v="B0233"/>
    <x v="2"/>
    <x v="5"/>
    <n v="80"/>
    <n v="80"/>
    <x v="0"/>
    <s v=""/>
  </r>
  <r>
    <x v="71"/>
    <s v="B0234"/>
    <x v="15"/>
    <x v="3"/>
    <n v="100"/>
    <n v="100"/>
    <x v="0"/>
    <s v=""/>
  </r>
  <r>
    <x v="164"/>
    <s v="B0235"/>
    <x v="3"/>
    <x v="1"/>
    <n v="100"/>
    <n v="60"/>
    <x v="2"/>
    <s v="M1024"/>
  </r>
  <r>
    <x v="63"/>
    <s v="B0236"/>
    <x v="18"/>
    <x v="0"/>
    <n v="120"/>
    <n v="100"/>
    <x v="4"/>
    <s v="M1043"/>
  </r>
  <r>
    <x v="13"/>
    <s v="B0237"/>
    <x v="9"/>
    <x v="2"/>
    <n v="80"/>
    <n v="40"/>
    <x v="2"/>
    <s v="M1015"/>
  </r>
  <r>
    <x v="32"/>
    <s v="B0238"/>
    <x v="9"/>
    <x v="6"/>
    <n v="80"/>
    <n v="40"/>
    <x v="2"/>
    <s v="M1038"/>
  </r>
  <r>
    <x v="45"/>
    <s v="B0239"/>
    <x v="10"/>
    <x v="3"/>
    <n v="120"/>
    <n v="120"/>
    <x v="0"/>
    <s v=""/>
  </r>
  <r>
    <x v="165"/>
    <s v="B0240"/>
    <x v="6"/>
    <x v="8"/>
    <n v="70"/>
    <n v="30"/>
    <x v="2"/>
    <s v="M1098"/>
  </r>
  <r>
    <x v="166"/>
    <s v="B0241"/>
    <x v="4"/>
    <x v="1"/>
    <n v="120"/>
    <n v="120"/>
    <x v="0"/>
    <s v=""/>
  </r>
  <r>
    <x v="17"/>
    <s v="B0242"/>
    <x v="14"/>
    <x v="1"/>
    <n v="90"/>
    <n v="90"/>
    <x v="0"/>
    <s v=""/>
  </r>
  <r>
    <x v="80"/>
    <s v="B0243"/>
    <x v="1"/>
    <x v="9"/>
    <n v="90"/>
    <n v="90"/>
    <x v="0"/>
    <s v=""/>
  </r>
  <r>
    <x v="164"/>
    <s v="B0244"/>
    <x v="17"/>
    <x v="9"/>
    <n v="90"/>
    <n v="90"/>
    <x v="0"/>
    <s v=""/>
  </r>
  <r>
    <x v="167"/>
    <s v="B0245"/>
    <x v="2"/>
    <x v="8"/>
    <n v="80"/>
    <n v="50"/>
    <x v="1"/>
    <s v="M1089"/>
  </r>
  <r>
    <x v="91"/>
    <s v="B0246"/>
    <x v="5"/>
    <x v="4"/>
    <n v="120"/>
    <n v="120"/>
    <x v="0"/>
    <s v=""/>
  </r>
  <r>
    <x v="64"/>
    <s v="B0247"/>
    <x v="1"/>
    <x v="9"/>
    <n v="90"/>
    <n v="60"/>
    <x v="1"/>
    <s v="M1099"/>
  </r>
  <r>
    <x v="168"/>
    <s v="B0248"/>
    <x v="15"/>
    <x v="0"/>
    <n v="100"/>
    <n v="80"/>
    <x v="4"/>
    <s v="M1147"/>
  </r>
  <r>
    <x v="82"/>
    <s v="B0249"/>
    <x v="12"/>
    <x v="7"/>
    <n v="90"/>
    <n v="90"/>
    <x v="0"/>
    <s v=""/>
  </r>
  <r>
    <x v="169"/>
    <s v="B0250"/>
    <x v="9"/>
    <x v="2"/>
    <n v="80"/>
    <n v="40"/>
    <x v="2"/>
    <s v="M1003"/>
  </r>
  <r>
    <x v="166"/>
    <s v="B0251"/>
    <x v="5"/>
    <x v="2"/>
    <n v="120"/>
    <n v="80"/>
    <x v="2"/>
    <s v="M1059"/>
  </r>
  <r>
    <x v="18"/>
    <s v="B0252"/>
    <x v="4"/>
    <x v="6"/>
    <n v="120"/>
    <n v="120"/>
    <x v="0"/>
    <s v=""/>
  </r>
  <r>
    <x v="26"/>
    <s v="B0253"/>
    <x v="7"/>
    <x v="7"/>
    <n v="90"/>
    <n v="90"/>
    <x v="0"/>
    <s v=""/>
  </r>
  <r>
    <x v="59"/>
    <s v="B0254"/>
    <x v="14"/>
    <x v="0"/>
    <n v="90"/>
    <n v="65"/>
    <x v="3"/>
    <s v="M1113"/>
  </r>
  <r>
    <x v="170"/>
    <s v="B0255"/>
    <x v="20"/>
    <x v="7"/>
    <n v="90"/>
    <n v="90"/>
    <x v="0"/>
    <s v=""/>
  </r>
  <r>
    <x v="82"/>
    <s v="B0256"/>
    <x v="14"/>
    <x v="0"/>
    <n v="90"/>
    <n v="65"/>
    <x v="3"/>
    <s v="M1107"/>
  </r>
  <r>
    <x v="42"/>
    <s v="B0257"/>
    <x v="6"/>
    <x v="1"/>
    <n v="70"/>
    <n v="70"/>
    <x v="0"/>
    <s v=""/>
  </r>
  <r>
    <x v="143"/>
    <s v="B0258"/>
    <x v="12"/>
    <x v="3"/>
    <n v="90"/>
    <n v="60"/>
    <x v="1"/>
    <s v="M1043"/>
  </r>
  <r>
    <x v="82"/>
    <s v="B0259"/>
    <x v="1"/>
    <x v="9"/>
    <n v="90"/>
    <n v="90"/>
    <x v="0"/>
    <s v=""/>
  </r>
  <r>
    <x v="107"/>
    <s v="B0260"/>
    <x v="13"/>
    <x v="0"/>
    <n v="120"/>
    <n v="90"/>
    <x v="1"/>
    <s v="M1037"/>
  </r>
  <r>
    <x v="171"/>
    <s v="B0261"/>
    <x v="10"/>
    <x v="5"/>
    <n v="120"/>
    <n v="95"/>
    <x v="3"/>
    <s v="M1102"/>
  </r>
  <r>
    <x v="142"/>
    <s v="B0262"/>
    <x v="17"/>
    <x v="4"/>
    <n v="90"/>
    <n v="50"/>
    <x v="2"/>
    <s v="M1095"/>
  </r>
  <r>
    <x v="25"/>
    <s v="B0263"/>
    <x v="1"/>
    <x v="7"/>
    <n v="90"/>
    <n v="90"/>
    <x v="0"/>
    <s v=""/>
  </r>
  <r>
    <x v="3"/>
    <s v="B0264"/>
    <x v="12"/>
    <x v="0"/>
    <n v="90"/>
    <n v="90"/>
    <x v="0"/>
    <s v=""/>
  </r>
  <r>
    <x v="172"/>
    <s v="B0265"/>
    <x v="17"/>
    <x v="7"/>
    <n v="90"/>
    <n v="90"/>
    <x v="0"/>
    <s v=""/>
  </r>
  <r>
    <x v="173"/>
    <s v="B0266"/>
    <x v="10"/>
    <x v="0"/>
    <n v="120"/>
    <n v="120"/>
    <x v="0"/>
    <s v=""/>
  </r>
  <r>
    <x v="148"/>
    <s v="B0267"/>
    <x v="9"/>
    <x v="5"/>
    <n v="80"/>
    <n v="40"/>
    <x v="2"/>
    <s v="M1012"/>
  </r>
  <r>
    <x v="174"/>
    <s v="B0268"/>
    <x v="20"/>
    <x v="4"/>
    <n v="90"/>
    <n v="50"/>
    <x v="2"/>
    <s v="M1025"/>
  </r>
  <r>
    <x v="158"/>
    <s v="B0269"/>
    <x v="10"/>
    <x v="3"/>
    <n v="120"/>
    <n v="95"/>
    <x v="3"/>
    <s v="M1117"/>
  </r>
  <r>
    <x v="5"/>
    <s v="B0270"/>
    <x v="12"/>
    <x v="3"/>
    <n v="90"/>
    <n v="90"/>
    <x v="0"/>
    <s v=""/>
  </r>
  <r>
    <x v="138"/>
    <s v="B0271"/>
    <x v="14"/>
    <x v="5"/>
    <n v="90"/>
    <n v="90"/>
    <x v="0"/>
    <s v=""/>
  </r>
  <r>
    <x v="175"/>
    <s v="B0272"/>
    <x v="4"/>
    <x v="5"/>
    <n v="120"/>
    <n v="80"/>
    <x v="2"/>
    <s v="M1095"/>
  </r>
  <r>
    <x v="176"/>
    <s v="B0273"/>
    <x v="7"/>
    <x v="9"/>
    <n v="90"/>
    <n v="60"/>
    <x v="1"/>
    <s v="M1093"/>
  </r>
  <r>
    <x v="177"/>
    <s v="B0274"/>
    <x v="8"/>
    <x v="6"/>
    <n v="90"/>
    <n v="60"/>
    <x v="1"/>
    <s v="M1102"/>
  </r>
  <r>
    <x v="178"/>
    <s v="B0275"/>
    <x v="1"/>
    <x v="1"/>
    <n v="90"/>
    <n v="60"/>
    <x v="1"/>
    <s v="M1024"/>
  </r>
  <r>
    <x v="179"/>
    <s v="B0276"/>
    <x v="7"/>
    <x v="7"/>
    <n v="90"/>
    <n v="60"/>
    <x v="1"/>
    <s v="M1086"/>
  </r>
  <r>
    <x v="180"/>
    <s v="B0277"/>
    <x v="10"/>
    <x v="8"/>
    <n v="120"/>
    <n v="95"/>
    <x v="3"/>
    <s v="M1142"/>
  </r>
  <r>
    <x v="181"/>
    <s v="B0278"/>
    <x v="7"/>
    <x v="7"/>
    <n v="90"/>
    <n v="60"/>
    <x v="1"/>
    <s v="M1085"/>
  </r>
  <r>
    <x v="29"/>
    <s v="B0279"/>
    <x v="14"/>
    <x v="7"/>
    <n v="90"/>
    <n v="65"/>
    <x v="3"/>
    <s v="M1038"/>
  </r>
  <r>
    <x v="26"/>
    <s v="B0280"/>
    <x v="14"/>
    <x v="3"/>
    <n v="90"/>
    <n v="65"/>
    <x v="3"/>
    <s v="M1029"/>
  </r>
  <r>
    <x v="49"/>
    <s v="B0281"/>
    <x v="17"/>
    <x v="8"/>
    <n v="90"/>
    <n v="50"/>
    <x v="2"/>
    <s v="M1061"/>
  </r>
  <r>
    <x v="182"/>
    <s v="B0282"/>
    <x v="5"/>
    <x v="6"/>
    <n v="120"/>
    <n v="80"/>
    <x v="2"/>
    <s v="M1068"/>
  </r>
  <r>
    <x v="83"/>
    <s v="B0283"/>
    <x v="20"/>
    <x v="8"/>
    <n v="90"/>
    <n v="90"/>
    <x v="0"/>
    <s v=""/>
  </r>
  <r>
    <x v="36"/>
    <s v="B0284"/>
    <x v="8"/>
    <x v="0"/>
    <n v="90"/>
    <n v="60"/>
    <x v="1"/>
    <s v="M1093"/>
  </r>
  <r>
    <x v="116"/>
    <s v="B0285"/>
    <x v="19"/>
    <x v="7"/>
    <n v="90"/>
    <n v="70"/>
    <x v="4"/>
    <s v="M1129"/>
  </r>
  <r>
    <x v="183"/>
    <s v="B0286"/>
    <x v="10"/>
    <x v="7"/>
    <n v="120"/>
    <n v="120"/>
    <x v="0"/>
    <s v=""/>
  </r>
  <r>
    <x v="62"/>
    <s v="B0287"/>
    <x v="19"/>
    <x v="4"/>
    <n v="90"/>
    <n v="90"/>
    <x v="0"/>
    <s v=""/>
  </r>
  <r>
    <x v="184"/>
    <s v="B0288"/>
    <x v="17"/>
    <x v="2"/>
    <n v="90"/>
    <n v="50"/>
    <x v="2"/>
    <s v="M1110"/>
  </r>
  <r>
    <x v="176"/>
    <s v="B0289"/>
    <x v="8"/>
    <x v="9"/>
    <n v="90"/>
    <n v="60"/>
    <x v="1"/>
    <s v="M1021"/>
  </r>
  <r>
    <x v="90"/>
    <s v="B0290"/>
    <x v="13"/>
    <x v="7"/>
    <n v="120"/>
    <n v="90"/>
    <x v="1"/>
    <s v="M1033"/>
  </r>
  <r>
    <x v="185"/>
    <s v="B0291"/>
    <x v="1"/>
    <x v="7"/>
    <n v="90"/>
    <n v="60"/>
    <x v="1"/>
    <s v="M1136"/>
  </r>
  <r>
    <x v="95"/>
    <s v="B0292"/>
    <x v="9"/>
    <x v="9"/>
    <n v="80"/>
    <n v="80"/>
    <x v="0"/>
    <s v=""/>
  </r>
  <r>
    <x v="115"/>
    <s v="B0293"/>
    <x v="18"/>
    <x v="0"/>
    <n v="120"/>
    <n v="120"/>
    <x v="0"/>
    <s v=""/>
  </r>
  <r>
    <x v="181"/>
    <s v="B0294"/>
    <x v="0"/>
    <x v="3"/>
    <n v="100"/>
    <n v="70"/>
    <x v="1"/>
    <s v="M1116"/>
  </r>
  <r>
    <x v="186"/>
    <s v="B0295"/>
    <x v="10"/>
    <x v="5"/>
    <n v="120"/>
    <n v="95"/>
    <x v="3"/>
    <s v="M1103"/>
  </r>
  <r>
    <x v="54"/>
    <s v="B0296"/>
    <x v="18"/>
    <x v="0"/>
    <n v="120"/>
    <n v="100"/>
    <x v="4"/>
    <s v="M1081"/>
  </r>
  <r>
    <x v="187"/>
    <s v="B0297"/>
    <x v="1"/>
    <x v="6"/>
    <n v="90"/>
    <n v="90"/>
    <x v="0"/>
    <s v=""/>
  </r>
  <r>
    <x v="144"/>
    <s v="B0298"/>
    <x v="15"/>
    <x v="0"/>
    <n v="100"/>
    <n v="80"/>
    <x v="4"/>
    <s v="M1024"/>
  </r>
  <r>
    <x v="188"/>
    <s v="B0299"/>
    <x v="18"/>
    <x v="0"/>
    <n v="120"/>
    <n v="100"/>
    <x v="4"/>
    <s v="M1143"/>
  </r>
  <r>
    <x v="163"/>
    <s v="B0300"/>
    <x v="20"/>
    <x v="7"/>
    <n v="90"/>
    <n v="90"/>
    <x v="0"/>
    <s v=""/>
  </r>
  <r>
    <x v="73"/>
    <s v="B0301"/>
    <x v="8"/>
    <x v="5"/>
    <n v="90"/>
    <n v="90"/>
    <x v="0"/>
    <s v=""/>
  </r>
  <r>
    <x v="164"/>
    <s v="B0302"/>
    <x v="18"/>
    <x v="2"/>
    <n v="120"/>
    <n v="120"/>
    <x v="0"/>
    <s v=""/>
  </r>
  <r>
    <x v="66"/>
    <s v="B0303"/>
    <x v="9"/>
    <x v="6"/>
    <n v="80"/>
    <n v="80"/>
    <x v="0"/>
    <s v=""/>
  </r>
  <r>
    <x v="67"/>
    <s v="B0304"/>
    <x v="19"/>
    <x v="1"/>
    <n v="90"/>
    <n v="90"/>
    <x v="0"/>
    <s v=""/>
  </r>
  <r>
    <x v="116"/>
    <s v="B0305"/>
    <x v="15"/>
    <x v="1"/>
    <n v="100"/>
    <n v="80"/>
    <x v="4"/>
    <s v="M1143"/>
  </r>
  <r>
    <x v="111"/>
    <s v="B0306"/>
    <x v="12"/>
    <x v="0"/>
    <n v="90"/>
    <n v="90"/>
    <x v="0"/>
    <s v=""/>
  </r>
  <r>
    <x v="108"/>
    <s v="B0307"/>
    <x v="10"/>
    <x v="5"/>
    <n v="120"/>
    <n v="120"/>
    <x v="0"/>
    <s v=""/>
  </r>
  <r>
    <x v="189"/>
    <s v="B0308"/>
    <x v="1"/>
    <x v="2"/>
    <n v="90"/>
    <n v="60"/>
    <x v="1"/>
    <s v="M1080"/>
  </r>
  <r>
    <x v="6"/>
    <s v="B0309"/>
    <x v="13"/>
    <x v="6"/>
    <n v="120"/>
    <n v="90"/>
    <x v="1"/>
    <s v="M1037"/>
  </r>
  <r>
    <x v="120"/>
    <s v="B0310"/>
    <x v="5"/>
    <x v="5"/>
    <n v="120"/>
    <n v="80"/>
    <x v="2"/>
    <s v="M1008"/>
  </r>
  <r>
    <x v="181"/>
    <s v="B0311"/>
    <x v="3"/>
    <x v="3"/>
    <n v="100"/>
    <n v="60"/>
    <x v="2"/>
    <s v="M1108"/>
  </r>
  <r>
    <x v="190"/>
    <s v="B0312"/>
    <x v="16"/>
    <x v="6"/>
    <n v="100"/>
    <n v="70"/>
    <x v="1"/>
    <s v="M1080"/>
  </r>
  <r>
    <x v="135"/>
    <s v="B0313"/>
    <x v="13"/>
    <x v="7"/>
    <n v="120"/>
    <n v="90"/>
    <x v="1"/>
    <s v="M1040"/>
  </r>
  <r>
    <x v="92"/>
    <s v="B0314"/>
    <x v="6"/>
    <x v="7"/>
    <n v="70"/>
    <n v="70"/>
    <x v="0"/>
    <s v=""/>
  </r>
  <r>
    <x v="191"/>
    <s v="B0315"/>
    <x v="3"/>
    <x v="4"/>
    <n v="100"/>
    <n v="100"/>
    <x v="0"/>
    <s v=""/>
  </r>
  <r>
    <x v="191"/>
    <s v="B0316"/>
    <x v="18"/>
    <x v="9"/>
    <n v="120"/>
    <n v="100"/>
    <x v="4"/>
    <s v="M1070"/>
  </r>
  <r>
    <x v="115"/>
    <s v="B0317"/>
    <x v="7"/>
    <x v="3"/>
    <n v="90"/>
    <n v="60"/>
    <x v="1"/>
    <s v="M1111"/>
  </r>
  <r>
    <x v="52"/>
    <s v="B0318"/>
    <x v="8"/>
    <x v="4"/>
    <n v="90"/>
    <n v="90"/>
    <x v="0"/>
    <s v=""/>
  </r>
  <r>
    <x v="18"/>
    <s v="B0319"/>
    <x v="9"/>
    <x v="2"/>
    <n v="80"/>
    <n v="40"/>
    <x v="2"/>
    <s v="M1015"/>
  </r>
  <r>
    <x v="64"/>
    <s v="B0320"/>
    <x v="17"/>
    <x v="1"/>
    <n v="90"/>
    <n v="50"/>
    <x v="2"/>
    <s v="M1036"/>
  </r>
  <r>
    <x v="172"/>
    <s v="B0321"/>
    <x v="1"/>
    <x v="4"/>
    <n v="90"/>
    <n v="60"/>
    <x v="1"/>
    <s v="M1002"/>
  </r>
  <r>
    <x v="165"/>
    <s v="B0322"/>
    <x v="15"/>
    <x v="5"/>
    <n v="100"/>
    <n v="80"/>
    <x v="4"/>
    <s v="M1098"/>
  </r>
  <r>
    <x v="143"/>
    <s v="B0323"/>
    <x v="2"/>
    <x v="1"/>
    <n v="80"/>
    <n v="80"/>
    <x v="0"/>
    <s v=""/>
  </r>
  <r>
    <x v="192"/>
    <s v="B0324"/>
    <x v="12"/>
    <x v="0"/>
    <n v="90"/>
    <n v="90"/>
    <x v="0"/>
    <s v=""/>
  </r>
  <r>
    <x v="193"/>
    <s v="B0325"/>
    <x v="20"/>
    <x v="5"/>
    <n v="90"/>
    <n v="50"/>
    <x v="2"/>
    <s v="M1020"/>
  </r>
  <r>
    <x v="23"/>
    <s v="B0326"/>
    <x v="13"/>
    <x v="7"/>
    <n v="120"/>
    <n v="120"/>
    <x v="0"/>
    <s v=""/>
  </r>
  <r>
    <x v="194"/>
    <s v="B0327"/>
    <x v="11"/>
    <x v="5"/>
    <n v="90"/>
    <n v="60"/>
    <x v="1"/>
    <s v="M1104"/>
  </r>
  <r>
    <x v="16"/>
    <s v="B0328"/>
    <x v="17"/>
    <x v="6"/>
    <n v="90"/>
    <n v="90"/>
    <x v="0"/>
    <s v=""/>
  </r>
  <r>
    <x v="195"/>
    <s v="B0329"/>
    <x v="16"/>
    <x v="6"/>
    <n v="100"/>
    <n v="70"/>
    <x v="1"/>
    <s v="M1028"/>
  </r>
  <r>
    <x v="147"/>
    <s v="B0330"/>
    <x v="10"/>
    <x v="5"/>
    <n v="120"/>
    <n v="120"/>
    <x v="0"/>
    <s v=""/>
  </r>
  <r>
    <x v="196"/>
    <s v="B0331"/>
    <x v="3"/>
    <x v="5"/>
    <n v="100"/>
    <n v="100"/>
    <x v="0"/>
    <s v=""/>
  </r>
  <r>
    <x v="146"/>
    <s v="B0332"/>
    <x v="13"/>
    <x v="1"/>
    <n v="120"/>
    <n v="120"/>
    <x v="0"/>
    <s v=""/>
  </r>
  <r>
    <x v="79"/>
    <s v="B0333"/>
    <x v="6"/>
    <x v="0"/>
    <n v="70"/>
    <n v="70"/>
    <x v="0"/>
    <s v=""/>
  </r>
  <r>
    <x v="79"/>
    <s v="B0334"/>
    <x v="8"/>
    <x v="3"/>
    <n v="90"/>
    <n v="60"/>
    <x v="1"/>
    <s v="M1090"/>
  </r>
  <r>
    <x v="197"/>
    <s v="B0335"/>
    <x v="12"/>
    <x v="8"/>
    <n v="90"/>
    <n v="60"/>
    <x v="1"/>
    <s v="M1038"/>
  </r>
  <r>
    <x v="198"/>
    <s v="B0336"/>
    <x v="1"/>
    <x v="1"/>
    <n v="90"/>
    <n v="90"/>
    <x v="0"/>
    <s v=""/>
  </r>
  <r>
    <x v="199"/>
    <s v="B0337"/>
    <x v="14"/>
    <x v="0"/>
    <n v="90"/>
    <n v="90"/>
    <x v="0"/>
    <s v=""/>
  </r>
  <r>
    <x v="173"/>
    <s v="B0338"/>
    <x v="0"/>
    <x v="9"/>
    <n v="100"/>
    <n v="100"/>
    <x v="0"/>
    <s v=""/>
  </r>
  <r>
    <x v="127"/>
    <s v="B0339"/>
    <x v="5"/>
    <x v="7"/>
    <n v="120"/>
    <n v="120"/>
    <x v="0"/>
    <s v=""/>
  </r>
  <r>
    <x v="124"/>
    <s v="B0340"/>
    <x v="5"/>
    <x v="7"/>
    <n v="120"/>
    <n v="120"/>
    <x v="0"/>
    <s v=""/>
  </r>
  <r>
    <x v="161"/>
    <s v="B0341"/>
    <x v="13"/>
    <x v="8"/>
    <n v="120"/>
    <n v="90"/>
    <x v="1"/>
    <s v="M1121"/>
  </r>
  <r>
    <x v="97"/>
    <s v="B0342"/>
    <x v="16"/>
    <x v="4"/>
    <n v="100"/>
    <n v="100"/>
    <x v="0"/>
    <s v=""/>
  </r>
  <r>
    <x v="31"/>
    <s v="B0343"/>
    <x v="20"/>
    <x v="6"/>
    <n v="90"/>
    <n v="50"/>
    <x v="2"/>
    <s v="M1080"/>
  </r>
  <r>
    <x v="200"/>
    <s v="B0344"/>
    <x v="16"/>
    <x v="9"/>
    <n v="100"/>
    <n v="70"/>
    <x v="1"/>
    <s v="M1095"/>
  </r>
  <r>
    <x v="144"/>
    <s v="B0345"/>
    <x v="9"/>
    <x v="0"/>
    <n v="80"/>
    <n v="80"/>
    <x v="0"/>
    <s v=""/>
  </r>
  <r>
    <x v="89"/>
    <s v="B0346"/>
    <x v="4"/>
    <x v="3"/>
    <n v="120"/>
    <n v="80"/>
    <x v="2"/>
    <s v="M1149"/>
  </r>
  <r>
    <x v="137"/>
    <s v="B0347"/>
    <x v="2"/>
    <x v="2"/>
    <n v="80"/>
    <n v="80"/>
    <x v="0"/>
    <s v=""/>
  </r>
  <r>
    <x v="85"/>
    <s v="B0348"/>
    <x v="0"/>
    <x v="1"/>
    <n v="100"/>
    <n v="100"/>
    <x v="0"/>
    <s v=""/>
  </r>
  <r>
    <x v="160"/>
    <s v="B0349"/>
    <x v="15"/>
    <x v="3"/>
    <n v="100"/>
    <n v="80"/>
    <x v="4"/>
    <s v="M1116"/>
  </r>
  <r>
    <x v="135"/>
    <s v="B0350"/>
    <x v="8"/>
    <x v="6"/>
    <n v="90"/>
    <n v="90"/>
    <x v="0"/>
    <s v=""/>
  </r>
  <r>
    <x v="59"/>
    <s v="B0351"/>
    <x v="0"/>
    <x v="8"/>
    <n v="100"/>
    <n v="70"/>
    <x v="1"/>
    <s v="M1113"/>
  </r>
  <r>
    <x v="60"/>
    <s v="B0352"/>
    <x v="16"/>
    <x v="3"/>
    <n v="100"/>
    <n v="100"/>
    <x v="0"/>
    <s v=""/>
  </r>
  <r>
    <x v="188"/>
    <s v="B0353"/>
    <x v="6"/>
    <x v="6"/>
    <n v="70"/>
    <n v="30"/>
    <x v="2"/>
    <s v="M1100"/>
  </r>
  <r>
    <x v="113"/>
    <s v="B0354"/>
    <x v="18"/>
    <x v="6"/>
    <n v="120"/>
    <n v="120"/>
    <x v="0"/>
    <s v=""/>
  </r>
  <r>
    <x v="20"/>
    <s v="B0355"/>
    <x v="0"/>
    <x v="6"/>
    <n v="100"/>
    <n v="70"/>
    <x v="1"/>
    <s v="M1025"/>
  </r>
  <r>
    <x v="86"/>
    <s v="B0356"/>
    <x v="2"/>
    <x v="5"/>
    <n v="80"/>
    <n v="50"/>
    <x v="1"/>
    <s v="M1039"/>
  </r>
  <r>
    <x v="201"/>
    <s v="B0357"/>
    <x v="13"/>
    <x v="0"/>
    <n v="120"/>
    <n v="90"/>
    <x v="1"/>
    <s v="M1080"/>
  </r>
  <r>
    <x v="202"/>
    <s v="B0358"/>
    <x v="0"/>
    <x v="5"/>
    <n v="100"/>
    <n v="100"/>
    <x v="0"/>
    <s v=""/>
  </r>
  <r>
    <x v="117"/>
    <s v="B0359"/>
    <x v="3"/>
    <x v="4"/>
    <n v="100"/>
    <n v="100"/>
    <x v="0"/>
    <s v=""/>
  </r>
  <r>
    <x v="203"/>
    <s v="B0360"/>
    <x v="13"/>
    <x v="8"/>
    <n v="120"/>
    <n v="90"/>
    <x v="1"/>
    <s v="M1109"/>
  </r>
  <r>
    <x v="193"/>
    <s v="B0361"/>
    <x v="19"/>
    <x v="6"/>
    <n v="90"/>
    <n v="70"/>
    <x v="4"/>
    <s v="M1080"/>
  </r>
  <r>
    <x v="7"/>
    <s v="B0362"/>
    <x v="6"/>
    <x v="1"/>
    <n v="70"/>
    <n v="70"/>
    <x v="0"/>
    <s v=""/>
  </r>
  <r>
    <x v="136"/>
    <s v="B0363"/>
    <x v="15"/>
    <x v="1"/>
    <n v="100"/>
    <n v="80"/>
    <x v="4"/>
    <s v="M1040"/>
  </r>
  <r>
    <x v="63"/>
    <s v="B0364"/>
    <x v="3"/>
    <x v="4"/>
    <n v="100"/>
    <n v="100"/>
    <x v="0"/>
    <s v=""/>
  </r>
  <r>
    <x v="200"/>
    <s v="B0365"/>
    <x v="2"/>
    <x v="3"/>
    <n v="80"/>
    <n v="80"/>
    <x v="0"/>
    <s v=""/>
  </r>
  <r>
    <x v="42"/>
    <s v="B0366"/>
    <x v="13"/>
    <x v="7"/>
    <n v="120"/>
    <n v="120"/>
    <x v="0"/>
    <s v=""/>
  </r>
  <r>
    <x v="204"/>
    <s v="B0367"/>
    <x v="11"/>
    <x v="8"/>
    <n v="90"/>
    <n v="60"/>
    <x v="1"/>
    <s v="M1043"/>
  </r>
  <r>
    <x v="45"/>
    <s v="B0368"/>
    <x v="16"/>
    <x v="2"/>
    <n v="100"/>
    <n v="70"/>
    <x v="1"/>
    <s v="M1061"/>
  </r>
  <r>
    <x v="86"/>
    <s v="B0369"/>
    <x v="16"/>
    <x v="7"/>
    <n v="100"/>
    <n v="100"/>
    <x v="0"/>
    <s v=""/>
  </r>
  <r>
    <x v="61"/>
    <s v="B0370"/>
    <x v="16"/>
    <x v="1"/>
    <n v="100"/>
    <n v="70"/>
    <x v="1"/>
    <s v="M1121"/>
  </r>
  <r>
    <x v="161"/>
    <s v="B0371"/>
    <x v="7"/>
    <x v="6"/>
    <n v="90"/>
    <n v="60"/>
    <x v="1"/>
    <s v="M1073"/>
  </r>
  <r>
    <x v="37"/>
    <s v="B0372"/>
    <x v="11"/>
    <x v="3"/>
    <n v="90"/>
    <n v="60"/>
    <x v="1"/>
    <s v="M1042"/>
  </r>
  <r>
    <x v="99"/>
    <s v="B0373"/>
    <x v="7"/>
    <x v="7"/>
    <n v="90"/>
    <n v="60"/>
    <x v="1"/>
    <s v="M1014"/>
  </r>
  <r>
    <x v="188"/>
    <s v="B0374"/>
    <x v="0"/>
    <x v="9"/>
    <n v="100"/>
    <n v="100"/>
    <x v="0"/>
    <s v=""/>
  </r>
  <r>
    <x v="142"/>
    <s v="B0375"/>
    <x v="8"/>
    <x v="3"/>
    <n v="90"/>
    <n v="60"/>
    <x v="1"/>
    <s v="M1022"/>
  </r>
  <r>
    <x v="137"/>
    <s v="B0376"/>
    <x v="6"/>
    <x v="4"/>
    <n v="70"/>
    <n v="70"/>
    <x v="0"/>
    <s v=""/>
  </r>
  <r>
    <x v="144"/>
    <s v="B0377"/>
    <x v="14"/>
    <x v="5"/>
    <n v="90"/>
    <n v="65"/>
    <x v="3"/>
    <s v="M1116"/>
  </r>
  <r>
    <x v="88"/>
    <s v="B0378"/>
    <x v="12"/>
    <x v="2"/>
    <n v="90"/>
    <n v="60"/>
    <x v="1"/>
    <s v="M1102"/>
  </r>
  <r>
    <x v="197"/>
    <s v="B0379"/>
    <x v="19"/>
    <x v="6"/>
    <n v="90"/>
    <n v="70"/>
    <x v="4"/>
    <s v="M1021"/>
  </r>
  <r>
    <x v="153"/>
    <s v="B0380"/>
    <x v="12"/>
    <x v="1"/>
    <n v="90"/>
    <n v="60"/>
    <x v="1"/>
    <s v="M1026"/>
  </r>
  <r>
    <x v="157"/>
    <s v="B0381"/>
    <x v="0"/>
    <x v="6"/>
    <n v="100"/>
    <n v="70"/>
    <x v="1"/>
    <s v="M1010"/>
  </r>
  <r>
    <x v="22"/>
    <s v="B0382"/>
    <x v="9"/>
    <x v="9"/>
    <n v="80"/>
    <n v="80"/>
    <x v="0"/>
    <s v=""/>
  </r>
  <r>
    <x v="205"/>
    <s v="B0383"/>
    <x v="15"/>
    <x v="9"/>
    <n v="100"/>
    <n v="80"/>
    <x v="4"/>
    <s v="M1005"/>
  </r>
  <r>
    <x v="140"/>
    <s v="B0384"/>
    <x v="1"/>
    <x v="1"/>
    <n v="90"/>
    <n v="90"/>
    <x v="0"/>
    <s v=""/>
  </r>
  <r>
    <x v="2"/>
    <s v="B0385"/>
    <x v="4"/>
    <x v="3"/>
    <n v="120"/>
    <n v="80"/>
    <x v="2"/>
    <s v="M1074"/>
  </r>
  <r>
    <x v="178"/>
    <s v="B0386"/>
    <x v="10"/>
    <x v="4"/>
    <n v="120"/>
    <n v="95"/>
    <x v="3"/>
    <s v="M1062"/>
  </r>
  <r>
    <x v="62"/>
    <s v="B0387"/>
    <x v="18"/>
    <x v="7"/>
    <n v="120"/>
    <n v="100"/>
    <x v="4"/>
    <s v="M1029"/>
  </r>
  <r>
    <x v="182"/>
    <s v="B0388"/>
    <x v="15"/>
    <x v="7"/>
    <n v="100"/>
    <n v="100"/>
    <x v="0"/>
    <s v=""/>
  </r>
  <r>
    <x v="34"/>
    <s v="B0389"/>
    <x v="19"/>
    <x v="7"/>
    <n v="90"/>
    <n v="90"/>
    <x v="0"/>
    <s v=""/>
  </r>
  <r>
    <x v="23"/>
    <s v="B0390"/>
    <x v="14"/>
    <x v="4"/>
    <n v="90"/>
    <n v="65"/>
    <x v="3"/>
    <s v="M1091"/>
  </r>
  <r>
    <x v="206"/>
    <s v="B0391"/>
    <x v="10"/>
    <x v="7"/>
    <n v="120"/>
    <n v="95"/>
    <x v="3"/>
    <s v="M1022"/>
  </r>
  <r>
    <x v="57"/>
    <s v="B0392"/>
    <x v="19"/>
    <x v="6"/>
    <n v="90"/>
    <n v="90"/>
    <x v="0"/>
    <s v=""/>
  </r>
  <r>
    <x v="31"/>
    <s v="B0393"/>
    <x v="2"/>
    <x v="3"/>
    <n v="80"/>
    <n v="80"/>
    <x v="0"/>
    <s v=""/>
  </r>
  <r>
    <x v="74"/>
    <s v="B0394"/>
    <x v="17"/>
    <x v="5"/>
    <n v="90"/>
    <n v="50"/>
    <x v="2"/>
    <s v="M1100"/>
  </r>
  <r>
    <x v="182"/>
    <s v="B0395"/>
    <x v="12"/>
    <x v="4"/>
    <n v="90"/>
    <n v="60"/>
    <x v="1"/>
    <s v="M1018"/>
  </r>
  <r>
    <x v="66"/>
    <s v="B0396"/>
    <x v="12"/>
    <x v="1"/>
    <n v="90"/>
    <n v="90"/>
    <x v="0"/>
    <s v=""/>
  </r>
  <r>
    <x v="207"/>
    <s v="B0397"/>
    <x v="5"/>
    <x v="6"/>
    <n v="120"/>
    <n v="80"/>
    <x v="2"/>
    <s v="M1091"/>
  </r>
  <r>
    <x v="165"/>
    <s v="B0398"/>
    <x v="2"/>
    <x v="6"/>
    <n v="80"/>
    <n v="80"/>
    <x v="0"/>
    <s v=""/>
  </r>
  <r>
    <x v="109"/>
    <s v="B0399"/>
    <x v="16"/>
    <x v="9"/>
    <n v="100"/>
    <n v="70"/>
    <x v="1"/>
    <s v="M1017"/>
  </r>
  <r>
    <x v="208"/>
    <s v="B0400"/>
    <x v="16"/>
    <x v="2"/>
    <n v="100"/>
    <n v="70"/>
    <x v="1"/>
    <s v="M10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410F6D-2429-40EA-AA8B-532D3279AB9B}" name="PivotTable1" cacheId="8"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2">
  <location ref="G3:I14" firstHeaderRow="1" firstDataRow="2" firstDataCol="1"/>
  <pivotFields count="10">
    <pivotField axis="axisRow" numFmtId="14" showAll="0">
      <items count="210">
        <item x="149"/>
        <item x="29"/>
        <item x="205"/>
        <item x="6"/>
        <item x="65"/>
        <item x="126"/>
        <item x="121"/>
        <item x="49"/>
        <item x="182"/>
        <item x="193"/>
        <item x="179"/>
        <item x="0"/>
        <item x="108"/>
        <item x="153"/>
        <item x="71"/>
        <item x="200"/>
        <item x="59"/>
        <item x="119"/>
        <item x="183"/>
        <item x="13"/>
        <item x="24"/>
        <item x="92"/>
        <item x="113"/>
        <item x="134"/>
        <item x="53"/>
        <item x="50"/>
        <item x="46"/>
        <item x="20"/>
        <item x="57"/>
        <item x="120"/>
        <item x="40"/>
        <item x="167"/>
        <item x="48"/>
        <item x="11"/>
        <item x="112"/>
        <item x="135"/>
        <item x="195"/>
        <item x="144"/>
        <item x="44"/>
        <item x="138"/>
        <item x="63"/>
        <item x="8"/>
        <item x="66"/>
        <item x="116"/>
        <item x="28"/>
        <item x="115"/>
        <item x="148"/>
        <item x="156"/>
        <item x="58"/>
        <item x="178"/>
        <item x="142"/>
        <item x="202"/>
        <item x="42"/>
        <item x="207"/>
        <item x="158"/>
        <item x="99"/>
        <item x="22"/>
        <item x="201"/>
        <item x="162"/>
        <item x="157"/>
        <item x="90"/>
        <item x="140"/>
        <item x="160"/>
        <item x="187"/>
        <item x="67"/>
        <item x="190"/>
        <item x="154"/>
        <item x="204"/>
        <item x="141"/>
        <item x="16"/>
        <item x="198"/>
        <item x="165"/>
        <item x="199"/>
        <item x="30"/>
        <item x="189"/>
        <item x="109"/>
        <item x="133"/>
        <item x="47"/>
        <item x="131"/>
        <item x="81"/>
        <item x="4"/>
        <item x="38"/>
        <item x="151"/>
        <item x="180"/>
        <item x="110"/>
        <item x="100"/>
        <item x="181"/>
        <item x="114"/>
        <item x="18"/>
        <item x="1"/>
        <item x="136"/>
        <item x="19"/>
        <item x="3"/>
        <item x="197"/>
        <item x="168"/>
        <item x="61"/>
        <item x="34"/>
        <item x="118"/>
        <item x="39"/>
        <item x="26"/>
        <item x="80"/>
        <item x="125"/>
        <item x="70"/>
        <item x="51"/>
        <item x="27"/>
        <item x="145"/>
        <item x="98"/>
        <item x="97"/>
        <item x="69"/>
        <item x="111"/>
        <item x="175"/>
        <item x="86"/>
        <item x="84"/>
        <item x="164"/>
        <item x="194"/>
        <item x="139"/>
        <item x="208"/>
        <item x="82"/>
        <item x="104"/>
        <item x="64"/>
        <item x="75"/>
        <item x="196"/>
        <item x="54"/>
        <item x="94"/>
        <item x="85"/>
        <item x="124"/>
        <item x="185"/>
        <item x="172"/>
        <item x="163"/>
        <item x="78"/>
        <item x="146"/>
        <item x="87"/>
        <item x="106"/>
        <item x="186"/>
        <item x="7"/>
        <item x="68"/>
        <item x="9"/>
        <item x="77"/>
        <item x="73"/>
        <item x="177"/>
        <item x="12"/>
        <item x="170"/>
        <item x="171"/>
        <item x="129"/>
        <item x="15"/>
        <item x="188"/>
        <item x="32"/>
        <item x="117"/>
        <item x="103"/>
        <item x="25"/>
        <item x="89"/>
        <item x="102"/>
        <item x="169"/>
        <item x="192"/>
        <item x="76"/>
        <item x="147"/>
        <item x="128"/>
        <item x="155"/>
        <item x="45"/>
        <item x="150"/>
        <item x="88"/>
        <item x="206"/>
        <item x="5"/>
        <item x="83"/>
        <item x="2"/>
        <item x="91"/>
        <item x="23"/>
        <item x="72"/>
        <item x="122"/>
        <item x="105"/>
        <item x="152"/>
        <item x="161"/>
        <item x="191"/>
        <item x="176"/>
        <item x="127"/>
        <item x="137"/>
        <item x="14"/>
        <item x="93"/>
        <item x="62"/>
        <item x="10"/>
        <item x="17"/>
        <item x="173"/>
        <item x="101"/>
        <item x="107"/>
        <item x="74"/>
        <item x="43"/>
        <item x="36"/>
        <item x="184"/>
        <item x="123"/>
        <item x="35"/>
        <item x="52"/>
        <item x="159"/>
        <item x="132"/>
        <item x="174"/>
        <item x="166"/>
        <item x="21"/>
        <item x="143"/>
        <item x="55"/>
        <item x="95"/>
        <item x="31"/>
        <item x="56"/>
        <item x="79"/>
        <item x="41"/>
        <item x="96"/>
        <item x="60"/>
        <item x="130"/>
        <item x="203"/>
        <item x="37"/>
        <item x="33"/>
        <item t="default"/>
      </items>
    </pivotField>
    <pivotField dataField="1" showAll="0"/>
    <pivotField showAll="0"/>
    <pivotField showAll="0"/>
    <pivotField showAll="0"/>
    <pivotField showAll="0"/>
    <pivotField axis="axisCol" showAll="0">
      <items count="6">
        <item x="0"/>
        <item h="1" x="4"/>
        <item h="1" x="3"/>
        <item h="1" x="1"/>
        <item h="1" x="2"/>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0"/>
  </rowFields>
  <rowItems count="10">
    <i>
      <x v="1"/>
    </i>
    <i>
      <x v="2"/>
    </i>
    <i>
      <x v="3"/>
    </i>
    <i>
      <x v="4"/>
    </i>
    <i>
      <x v="5"/>
    </i>
    <i>
      <x v="6"/>
    </i>
    <i>
      <x v="7"/>
    </i>
    <i>
      <x v="8"/>
    </i>
    <i>
      <x v="9"/>
    </i>
    <i t="grand">
      <x/>
    </i>
  </rowItems>
  <colFields count="1">
    <field x="6"/>
  </colFields>
  <colItems count="2">
    <i>
      <x/>
    </i>
    <i t="grand">
      <x/>
    </i>
  </colItems>
  <dataFields count="1">
    <dataField name="Anzahl von BuchungsID" fld="1" subtotal="count" baseField="0" baseItem="0"/>
  </dataField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188FA1-4EA5-424C-A9C8-C1F3CFDCE6C3}" name="PivotTable2" cacheId="8"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4">
  <location ref="A3:B13" firstHeaderRow="1" firstDataRow="1" firstDataCol="1"/>
  <pivotFields count="10">
    <pivotField numFmtId="14"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showAll="0"/>
    <pivotField showAll="0">
      <items count="22">
        <item x="17"/>
        <item x="20"/>
        <item x="3"/>
        <item x="8"/>
        <item x="14"/>
        <item x="6"/>
        <item x="7"/>
        <item x="10"/>
        <item x="1"/>
        <item x="9"/>
        <item x="13"/>
        <item x="12"/>
        <item x="11"/>
        <item x="18"/>
        <item x="16"/>
        <item x="15"/>
        <item x="19"/>
        <item x="2"/>
        <item x="4"/>
        <item x="5"/>
        <item x="0"/>
        <item t="default"/>
      </items>
    </pivotField>
    <pivotField showAll="0"/>
    <pivotField showAll="0"/>
    <pivotField dataField="1" showAll="0"/>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0">
    <i>
      <x v="1"/>
    </i>
    <i>
      <x v="2"/>
    </i>
    <i>
      <x v="3"/>
    </i>
    <i>
      <x v="4"/>
    </i>
    <i>
      <x v="5"/>
    </i>
    <i>
      <x v="6"/>
    </i>
    <i>
      <x v="7"/>
    </i>
    <i>
      <x v="8"/>
    </i>
    <i>
      <x v="9"/>
    </i>
    <i t="grand">
      <x/>
    </i>
  </rowItems>
  <colItems count="1">
    <i/>
  </colItems>
  <dataFields count="1">
    <dataField name="Summe von Gesamtpreis" fld="5" baseField="2" baseItem="0" numFmtId="164"/>
  </dataFields>
  <formats count="3">
    <format dxfId="16">
      <pivotArea collapsedLevelsAreSubtotals="1" fieldPosition="0">
        <references count="1">
          <reference field="9" count="6">
            <x v="1"/>
            <x v="5"/>
            <x v="6"/>
            <x v="9"/>
            <x v="10"/>
            <x v="11"/>
          </reference>
        </references>
      </pivotArea>
    </format>
    <format dxfId="15">
      <pivotArea grandRow="1" outline="0" collapsedLevelsAreSubtotals="1" fieldPosition="0"/>
    </format>
    <format dxfId="1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C01379-92B1-45A1-AD46-9AD4B4050BC6}" name="PivotTable5" cacheId="8"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34">
  <location ref="D3:E25" firstHeaderRow="1" firstDataRow="1" firstDataCol="1"/>
  <pivotFields count="10">
    <pivotField numFmtId="14"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dataField="1" showAll="0"/>
    <pivotField axis="axisRow" showAll="0" sortType="ascending">
      <items count="22">
        <item x="17"/>
        <item x="20"/>
        <item x="3"/>
        <item x="8"/>
        <item x="14"/>
        <item x="6"/>
        <item x="7"/>
        <item x="10"/>
        <item x="1"/>
        <item x="9"/>
        <item x="13"/>
        <item x="12"/>
        <item x="11"/>
        <item x="18"/>
        <item x="16"/>
        <item x="15"/>
        <item x="19"/>
        <item x="2"/>
        <item x="4"/>
        <item x="5"/>
        <item x="0"/>
        <item t="default"/>
      </items>
      <autoSortScope>
        <pivotArea dataOnly="0" outline="0" fieldPosition="0">
          <references count="1">
            <reference field="4294967294" count="1" selected="0">
              <x v="0"/>
            </reference>
          </references>
        </pivotArea>
      </autoSortScope>
    </pivotField>
    <pivotField showAll="0">
      <items count="11">
        <item x="2"/>
        <item x="0"/>
        <item x="8"/>
        <item x="1"/>
        <item x="4"/>
        <item x="6"/>
        <item x="5"/>
        <item x="9"/>
        <item x="3"/>
        <item x="7"/>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2">
    <i>
      <x v="1"/>
    </i>
    <i>
      <x v="16"/>
    </i>
    <i>
      <x v="18"/>
    </i>
    <i>
      <x v="11"/>
    </i>
    <i>
      <x v="12"/>
    </i>
    <i>
      <x v="5"/>
    </i>
    <i>
      <x v="6"/>
    </i>
    <i>
      <x v="15"/>
    </i>
    <i>
      <x v="3"/>
    </i>
    <i>
      <x v="4"/>
    </i>
    <i>
      <x v="13"/>
    </i>
    <i>
      <x v="19"/>
    </i>
    <i>
      <x v="10"/>
    </i>
    <i>
      <x v="2"/>
    </i>
    <i>
      <x v="9"/>
    </i>
    <i>
      <x/>
    </i>
    <i>
      <x v="8"/>
    </i>
    <i>
      <x v="14"/>
    </i>
    <i>
      <x v="20"/>
    </i>
    <i>
      <x v="17"/>
    </i>
    <i>
      <x v="7"/>
    </i>
    <i t="grand">
      <x/>
    </i>
  </rowItems>
  <colItems count="1">
    <i/>
  </colItems>
  <dataFields count="1">
    <dataField name="Anzahl von BuchungsID" fld="1" subtotal="count" baseField="0" baseItem="0"/>
  </dataFields>
  <chartFormats count="1">
    <chartFormat chart="10"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EB4B2C-1706-4517-B3A4-DC92E13F87F0}" name="PivotTable3" cacheId="8"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1">
  <location ref="A20:B42" firstHeaderRow="1" firstDataRow="1" firstDataCol="1"/>
  <pivotFields count="10">
    <pivotField numFmtId="14"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dataField="1" showAll="0"/>
    <pivotField axis="axisRow" showAll="0" sortType="ascending">
      <items count="22">
        <item x="17"/>
        <item x="20"/>
        <item x="3"/>
        <item x="8"/>
        <item x="14"/>
        <item x="6"/>
        <item x="7"/>
        <item x="10"/>
        <item x="1"/>
        <item x="9"/>
        <item x="13"/>
        <item x="12"/>
        <item x="11"/>
        <item x="18"/>
        <item x="16"/>
        <item x="15"/>
        <item x="19"/>
        <item x="2"/>
        <item x="4"/>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2">
    <i>
      <x v="1"/>
    </i>
    <i>
      <x v="16"/>
    </i>
    <i>
      <x v="18"/>
    </i>
    <i>
      <x v="11"/>
    </i>
    <i>
      <x v="12"/>
    </i>
    <i>
      <x v="5"/>
    </i>
    <i>
      <x v="6"/>
    </i>
    <i>
      <x v="15"/>
    </i>
    <i>
      <x v="3"/>
    </i>
    <i>
      <x v="4"/>
    </i>
    <i>
      <x v="13"/>
    </i>
    <i>
      <x v="19"/>
    </i>
    <i>
      <x v="10"/>
    </i>
    <i>
      <x v="2"/>
    </i>
    <i>
      <x v="9"/>
    </i>
    <i>
      <x/>
    </i>
    <i>
      <x v="8"/>
    </i>
    <i>
      <x v="14"/>
    </i>
    <i>
      <x v="20"/>
    </i>
    <i>
      <x v="17"/>
    </i>
    <i>
      <x v="7"/>
    </i>
    <i t="grand">
      <x/>
    </i>
  </rowItems>
  <colItems count="1">
    <i/>
  </colItems>
  <dataFields count="1">
    <dataField name="Anzahl von BuchungsID" fld="1" subtotal="count" baseField="0" baseItem="0"/>
  </dataFields>
  <formats count="1">
    <format dxfId="17">
      <pivotArea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825C9BBD-BFD0-4EA7-A719-358830D22999}" autoFormatId="16" applyNumberFormats="0" applyBorderFormats="0" applyFontFormats="0" applyPatternFormats="0" applyAlignmentFormats="0" applyWidthHeightFormats="0">
  <queryTableRefresh nextId="9">
    <queryTableFields count="8">
      <queryTableField id="1" name="Datum" tableColumnId="1"/>
      <queryTableField id="2" name="BuchungsID" tableColumnId="2"/>
      <queryTableField id="3" name="Sportart" tableColumnId="3"/>
      <queryTableField id="4" name="Alter" tableColumnId="4"/>
      <queryTableField id="5" name="Einzelpreis" tableColumnId="5"/>
      <queryTableField id="6" name="Gesamtpreis" tableColumnId="6"/>
      <queryTableField id="7" name="Ermäßigung" tableColumnId="7"/>
      <queryTableField id="8" name="MitgliedsNr"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portart" xr10:uid="{5B624344-2B9D-419A-93F3-261A5A9CF371}" sourceName="Sportart">
  <pivotTables>
    <pivotTable tabId="4" name="PivotTable2"/>
  </pivotTables>
  <data>
    <tabular pivotCacheId="623330547">
      <items count="21">
        <i x="17" s="1"/>
        <i x="20" s="1"/>
        <i x="3" s="1"/>
        <i x="8" s="1"/>
        <i x="14" s="1"/>
        <i x="6" s="1"/>
        <i x="7" s="1"/>
        <i x="10" s="1"/>
        <i x="1" s="1"/>
        <i x="9" s="1"/>
        <i x="13" s="1"/>
        <i x="12" s="1"/>
        <i x="11" s="1"/>
        <i x="18" s="1"/>
        <i x="16" s="1"/>
        <i x="15" s="1"/>
        <i x="19" s="1"/>
        <i x="2" s="1"/>
        <i x="4"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Monate__Datum" xr10:uid="{9DDEA409-EEB6-410E-9761-3BDB23859059}" sourceName="Monate (Datum)">
  <pivotTables>
    <pivotTable tabId="4" name="PivotTable3"/>
  </pivotTables>
  <data>
    <tabular pivotCacheId="623330547">
      <items count="14">
        <i x="1" s="1"/>
        <i x="2" s="1"/>
        <i x="3" s="1"/>
        <i x="4" s="1"/>
        <i x="5" s="1"/>
        <i x="6" s="1"/>
        <i x="7" s="1"/>
        <i x="8" s="1"/>
        <i x="9" s="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lter" xr10:uid="{A7EED6FD-DFA0-4453-A0AB-6754C51FD7F9}" sourceName="Alter">
  <pivotTables>
    <pivotTable tabId="4" name="PivotTable5"/>
  </pivotTables>
  <data>
    <tabular pivotCacheId="623330547">
      <items count="10">
        <i x="2" s="1"/>
        <i x="0" s="1"/>
        <i x="8" s="1"/>
        <i x="1" s="1"/>
        <i x="4" s="1"/>
        <i x="6" s="1"/>
        <i x="5" s="1"/>
        <i x="9"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ortart" xr10:uid="{BA86B0EA-CB7B-42F6-9E76-BF212DE4D369}" cache="Datenschnitt_Sportart" caption="Sportart" startItem="1" style="SlicerStyleOther1" rowHeight="249238"/>
  <slicer name="Monate (Datum)" xr10:uid="{B526449D-9958-4C01-A806-4AEF272F14D6}" cache="Datenschnitt_Monate__Datum" caption="Monate (Datum)" style="SlicerStyleOther1" rowHeight="249238"/>
  <slicer name="Alter" xr10:uid="{A1DCAF4A-9C50-4219-91F2-8AA187AD31ED}" cache="Datenschnitt_Alter" caption="Alter" startItem="2" style="SlicerStyleOther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47F762-BED8-49E1-925B-CAB434746C9E}" name="buchungen_rohdaten__2" displayName="buchungen_rohdaten__2" ref="A1:H401" tableType="queryTable" totalsRowShown="0">
  <autoFilter ref="A1:H401" xr:uid="{3E47F762-BED8-49E1-925B-CAB434746C9E}"/>
  <tableColumns count="8">
    <tableColumn id="1" xr3:uid="{BA6E5C33-0575-46B0-AA76-0FE8940BF82E}" uniqueName="1" name="Datum" queryTableFieldId="1" dataDxfId="13"/>
    <tableColumn id="2" xr3:uid="{EFFFBFBA-5F2F-4EF6-9668-E78FF136B99C}" uniqueName="2" name="BuchungsID" queryTableFieldId="2" dataDxfId="12"/>
    <tableColumn id="3" xr3:uid="{BA766BDF-70F5-4762-A9DE-D87A87984BD7}" uniqueName="3" name="Sportart" queryTableFieldId="3" dataDxfId="11"/>
    <tableColumn id="4" xr3:uid="{E97DB9C1-D360-49EE-9A29-E155DD2CD2E8}" uniqueName="4" name="Alter" queryTableFieldId="4"/>
    <tableColumn id="5" xr3:uid="{1BDF241F-DD0F-45EF-95EC-F91374CCEB23}" uniqueName="5" name="Einzelpreis" queryTableFieldId="5"/>
    <tableColumn id="6" xr3:uid="{7143A990-C2D3-4A98-872F-70EFCC89AFFE}" uniqueName="6" name="Gesamtpreis" queryTableFieldId="6"/>
    <tableColumn id="7" xr3:uid="{E577654F-BF0C-47BE-B9FD-6B02C7C0956C}" uniqueName="7" name="Ermäßigung" queryTableFieldId="7"/>
    <tableColumn id="8" xr3:uid="{4F48B8F6-DC80-49CF-967B-07D68A939A91}" uniqueName="8" name="MitgliedsNr" queryTableFieldId="8" dataDxfId="1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B7B7-A2FD-46EF-BF4B-BF0CE7FD4141}">
  <dimension ref="A2:I42"/>
  <sheetViews>
    <sheetView zoomScale="98" workbookViewId="0">
      <selection activeCell="G7" sqref="G7"/>
    </sheetView>
  </sheetViews>
  <sheetFormatPr baseColWidth="10" defaultRowHeight="14.25" x14ac:dyDescent="0.45"/>
  <cols>
    <col min="1" max="1" width="20.33203125" bestFit="1" customWidth="1"/>
    <col min="2" max="2" width="19.53125" bestFit="1" customWidth="1"/>
    <col min="3" max="3" width="5.73046875" bestFit="1" customWidth="1"/>
    <col min="4" max="4" width="20.33203125" bestFit="1" customWidth="1"/>
    <col min="5" max="5" width="19.53125" bestFit="1" customWidth="1"/>
    <col min="6" max="6" width="6.796875" customWidth="1"/>
    <col min="7" max="7" width="20.33203125" bestFit="1" customWidth="1"/>
    <col min="8" max="8" width="21.53125" bestFit="1" customWidth="1"/>
    <col min="9" max="9" width="14.06640625" bestFit="1" customWidth="1"/>
    <col min="10" max="10" width="2.73046875" bestFit="1" customWidth="1"/>
    <col min="11" max="11" width="3.73046875" bestFit="1" customWidth="1"/>
    <col min="12" max="12" width="2.73046875" bestFit="1" customWidth="1"/>
    <col min="13" max="13" width="13.796875" bestFit="1" customWidth="1"/>
    <col min="14" max="15" width="6.796875" customWidth="1"/>
    <col min="16" max="21" width="21.1328125" bestFit="1" customWidth="1"/>
    <col min="22" max="22" width="26.33203125" bestFit="1" customWidth="1"/>
    <col min="23" max="23" width="26" bestFit="1" customWidth="1"/>
    <col min="24" max="92" width="9.796875" bestFit="1" customWidth="1"/>
    <col min="93" max="93" width="13.796875" bestFit="1" customWidth="1"/>
  </cols>
  <sheetData>
    <row r="2" spans="1:9" x14ac:dyDescent="0.45">
      <c r="A2" s="5" t="s">
        <v>40</v>
      </c>
      <c r="D2" s="5" t="s">
        <v>563</v>
      </c>
    </row>
    <row r="3" spans="1:9" x14ac:dyDescent="0.45">
      <c r="A3" s="1" t="s">
        <v>28</v>
      </c>
      <c r="B3" t="s">
        <v>39</v>
      </c>
      <c r="D3" s="1" t="s">
        <v>28</v>
      </c>
      <c r="E3" t="s">
        <v>560</v>
      </c>
      <c r="G3" s="1" t="s">
        <v>560</v>
      </c>
      <c r="H3" s="1" t="s">
        <v>561</v>
      </c>
    </row>
    <row r="4" spans="1:9" x14ac:dyDescent="0.45">
      <c r="A4" s="2" t="s">
        <v>30</v>
      </c>
      <c r="B4" s="4">
        <v>3620</v>
      </c>
      <c r="D4" s="2" t="s">
        <v>27</v>
      </c>
      <c r="E4" s="12">
        <v>11</v>
      </c>
      <c r="G4" s="1" t="s">
        <v>28</v>
      </c>
      <c r="H4">
        <v>0</v>
      </c>
      <c r="I4" t="s">
        <v>29</v>
      </c>
    </row>
    <row r="5" spans="1:9" x14ac:dyDescent="0.45">
      <c r="A5" s="2" t="s">
        <v>31</v>
      </c>
      <c r="B5" s="4">
        <v>3530</v>
      </c>
      <c r="D5" s="2" t="s">
        <v>11</v>
      </c>
      <c r="E5" s="12">
        <v>13</v>
      </c>
      <c r="G5" s="2" t="s">
        <v>30</v>
      </c>
      <c r="H5" s="12">
        <v>19</v>
      </c>
      <c r="I5" s="12">
        <v>19</v>
      </c>
    </row>
    <row r="6" spans="1:9" x14ac:dyDescent="0.45">
      <c r="A6" s="2" t="s">
        <v>32</v>
      </c>
      <c r="B6" s="4">
        <v>3560</v>
      </c>
      <c r="D6" s="2" t="s">
        <v>8</v>
      </c>
      <c r="E6" s="12">
        <v>14</v>
      </c>
      <c r="G6" s="2" t="s">
        <v>31</v>
      </c>
      <c r="H6" s="12">
        <v>18</v>
      </c>
      <c r="I6" s="12">
        <v>18</v>
      </c>
    </row>
    <row r="7" spans="1:9" x14ac:dyDescent="0.45">
      <c r="A7" s="2" t="s">
        <v>33</v>
      </c>
      <c r="B7" s="4">
        <v>2770</v>
      </c>
      <c r="D7" s="2" t="s">
        <v>23</v>
      </c>
      <c r="E7" s="12">
        <v>16</v>
      </c>
      <c r="G7" s="2" t="s">
        <v>32</v>
      </c>
      <c r="H7" s="12">
        <v>19</v>
      </c>
      <c r="I7" s="12">
        <v>19</v>
      </c>
    </row>
    <row r="8" spans="1:9" x14ac:dyDescent="0.45">
      <c r="A8" s="2" t="s">
        <v>34</v>
      </c>
      <c r="B8" s="4">
        <v>3795</v>
      </c>
      <c r="D8" s="2" t="s">
        <v>13</v>
      </c>
      <c r="E8" s="12">
        <v>16</v>
      </c>
      <c r="G8" s="2" t="s">
        <v>33</v>
      </c>
      <c r="H8" s="12">
        <v>12</v>
      </c>
      <c r="I8" s="12">
        <v>12</v>
      </c>
    </row>
    <row r="9" spans="1:9" x14ac:dyDescent="0.45">
      <c r="A9" s="2" t="s">
        <v>35</v>
      </c>
      <c r="B9" s="4">
        <v>3460</v>
      </c>
      <c r="D9" s="2" t="s">
        <v>10</v>
      </c>
      <c r="E9" s="12">
        <v>17</v>
      </c>
      <c r="G9" s="2" t="s">
        <v>34</v>
      </c>
      <c r="H9" s="12">
        <v>19</v>
      </c>
      <c r="I9" s="12">
        <v>19</v>
      </c>
    </row>
    <row r="10" spans="1:9" x14ac:dyDescent="0.45">
      <c r="A10" s="2" t="s">
        <v>36</v>
      </c>
      <c r="B10" s="4">
        <v>3080</v>
      </c>
      <c r="D10" s="2" t="s">
        <v>6</v>
      </c>
      <c r="E10" s="12">
        <v>18</v>
      </c>
      <c r="G10" s="2" t="s">
        <v>35</v>
      </c>
      <c r="H10" s="12">
        <v>22</v>
      </c>
      <c r="I10" s="12">
        <v>22</v>
      </c>
    </row>
    <row r="11" spans="1:9" x14ac:dyDescent="0.45">
      <c r="A11" s="2" t="s">
        <v>37</v>
      </c>
      <c r="B11" s="4">
        <v>4665</v>
      </c>
      <c r="D11" s="2" t="s">
        <v>19</v>
      </c>
      <c r="E11" s="12">
        <v>18</v>
      </c>
      <c r="G11" s="2" t="s">
        <v>36</v>
      </c>
      <c r="H11" s="12">
        <v>20</v>
      </c>
      <c r="I11" s="12">
        <v>20</v>
      </c>
    </row>
    <row r="12" spans="1:9" x14ac:dyDescent="0.45">
      <c r="A12" s="2" t="s">
        <v>38</v>
      </c>
      <c r="B12" s="4">
        <v>3380</v>
      </c>
      <c r="D12" s="2" t="s">
        <v>9</v>
      </c>
      <c r="E12" s="12">
        <v>18</v>
      </c>
      <c r="G12" s="2" t="s">
        <v>37</v>
      </c>
      <c r="H12" s="12">
        <v>24</v>
      </c>
      <c r="I12" s="12">
        <v>24</v>
      </c>
    </row>
    <row r="13" spans="1:9" x14ac:dyDescent="0.45">
      <c r="A13" s="2" t="s">
        <v>29</v>
      </c>
      <c r="B13" s="4">
        <v>31860</v>
      </c>
      <c r="D13" s="2" t="s">
        <v>18</v>
      </c>
      <c r="E13" s="12">
        <v>18</v>
      </c>
      <c r="G13" s="2" t="s">
        <v>38</v>
      </c>
      <c r="H13" s="12">
        <v>20</v>
      </c>
      <c r="I13" s="12">
        <v>20</v>
      </c>
    </row>
    <row r="14" spans="1:9" x14ac:dyDescent="0.45">
      <c r="D14" s="2" t="s">
        <v>14</v>
      </c>
      <c r="E14" s="12">
        <v>18</v>
      </c>
      <c r="G14" s="2" t="s">
        <v>29</v>
      </c>
      <c r="H14" s="12">
        <v>173</v>
      </c>
      <c r="I14" s="12">
        <v>173</v>
      </c>
    </row>
    <row r="15" spans="1:9" x14ac:dyDescent="0.45">
      <c r="D15" s="2" t="s">
        <v>16</v>
      </c>
      <c r="E15" s="12">
        <v>19</v>
      </c>
    </row>
    <row r="16" spans="1:9" x14ac:dyDescent="0.45">
      <c r="D16" s="2" t="s">
        <v>22</v>
      </c>
      <c r="E16" s="12">
        <v>20</v>
      </c>
    </row>
    <row r="17" spans="1:5" x14ac:dyDescent="0.45">
      <c r="D17" s="2" t="s">
        <v>25</v>
      </c>
      <c r="E17" s="12">
        <v>21</v>
      </c>
    </row>
    <row r="18" spans="1:5" x14ac:dyDescent="0.45">
      <c r="D18" s="2" t="s">
        <v>26</v>
      </c>
      <c r="E18" s="12">
        <v>21</v>
      </c>
    </row>
    <row r="19" spans="1:5" x14ac:dyDescent="0.45">
      <c r="A19" s="6" t="s">
        <v>562</v>
      </c>
      <c r="D19" s="2" t="s">
        <v>20</v>
      </c>
      <c r="E19" s="12">
        <v>22</v>
      </c>
    </row>
    <row r="20" spans="1:5" x14ac:dyDescent="0.45">
      <c r="A20" s="1" t="s">
        <v>28</v>
      </c>
      <c r="B20" t="s">
        <v>560</v>
      </c>
      <c r="D20" s="2" t="s">
        <v>15</v>
      </c>
      <c r="E20" s="12">
        <v>23</v>
      </c>
    </row>
    <row r="21" spans="1:5" x14ac:dyDescent="0.45">
      <c r="A21" s="2" t="s">
        <v>27</v>
      </c>
      <c r="B21" s="12">
        <v>11</v>
      </c>
      <c r="D21" s="2" t="s">
        <v>12</v>
      </c>
      <c r="E21" s="12">
        <v>24</v>
      </c>
    </row>
    <row r="22" spans="1:5" x14ac:dyDescent="0.45">
      <c r="A22" s="2" t="s">
        <v>11</v>
      </c>
      <c r="B22" s="12">
        <v>13</v>
      </c>
      <c r="D22" s="2" t="s">
        <v>21</v>
      </c>
      <c r="E22" s="12">
        <v>24</v>
      </c>
    </row>
    <row r="23" spans="1:5" x14ac:dyDescent="0.45">
      <c r="A23" s="2" t="s">
        <v>8</v>
      </c>
      <c r="B23" s="12">
        <v>14</v>
      </c>
      <c r="D23" s="2" t="s">
        <v>17</v>
      </c>
      <c r="E23" s="12">
        <v>24</v>
      </c>
    </row>
    <row r="24" spans="1:5" x14ac:dyDescent="0.45">
      <c r="A24" s="2" t="s">
        <v>23</v>
      </c>
      <c r="B24" s="12">
        <v>16</v>
      </c>
      <c r="D24" s="2" t="s">
        <v>24</v>
      </c>
      <c r="E24" s="12">
        <v>25</v>
      </c>
    </row>
    <row r="25" spans="1:5" x14ac:dyDescent="0.45">
      <c r="A25" s="2" t="s">
        <v>13</v>
      </c>
      <c r="B25" s="12">
        <v>16</v>
      </c>
      <c r="D25" s="2" t="s">
        <v>29</v>
      </c>
      <c r="E25" s="12">
        <v>400</v>
      </c>
    </row>
    <row r="26" spans="1:5" x14ac:dyDescent="0.45">
      <c r="A26" s="2" t="s">
        <v>10</v>
      </c>
      <c r="B26" s="12">
        <v>17</v>
      </c>
    </row>
    <row r="27" spans="1:5" x14ac:dyDescent="0.45">
      <c r="A27" s="2" t="s">
        <v>6</v>
      </c>
      <c r="B27" s="12">
        <v>18</v>
      </c>
    </row>
    <row r="28" spans="1:5" x14ac:dyDescent="0.45">
      <c r="A28" s="2" t="s">
        <v>19</v>
      </c>
      <c r="B28" s="12">
        <v>18</v>
      </c>
    </row>
    <row r="29" spans="1:5" x14ac:dyDescent="0.45">
      <c r="A29" s="2" t="s">
        <v>9</v>
      </c>
      <c r="B29" s="12">
        <v>18</v>
      </c>
    </row>
    <row r="30" spans="1:5" x14ac:dyDescent="0.45">
      <c r="A30" s="2" t="s">
        <v>18</v>
      </c>
      <c r="B30" s="12">
        <v>18</v>
      </c>
    </row>
    <row r="31" spans="1:5" x14ac:dyDescent="0.45">
      <c r="A31" s="2" t="s">
        <v>14</v>
      </c>
      <c r="B31" s="12">
        <v>18</v>
      </c>
    </row>
    <row r="32" spans="1:5" x14ac:dyDescent="0.45">
      <c r="A32" s="2" t="s">
        <v>16</v>
      </c>
      <c r="B32" s="12">
        <v>19</v>
      </c>
    </row>
    <row r="33" spans="1:2" x14ac:dyDescent="0.45">
      <c r="A33" s="2" t="s">
        <v>22</v>
      </c>
      <c r="B33" s="12">
        <v>20</v>
      </c>
    </row>
    <row r="34" spans="1:2" x14ac:dyDescent="0.45">
      <c r="A34" s="2" t="s">
        <v>25</v>
      </c>
      <c r="B34" s="12">
        <v>21</v>
      </c>
    </row>
    <row r="35" spans="1:2" x14ac:dyDescent="0.45">
      <c r="A35" s="2" t="s">
        <v>26</v>
      </c>
      <c r="B35" s="12">
        <v>21</v>
      </c>
    </row>
    <row r="36" spans="1:2" x14ac:dyDescent="0.45">
      <c r="A36" s="2" t="s">
        <v>20</v>
      </c>
      <c r="B36" s="12">
        <v>22</v>
      </c>
    </row>
    <row r="37" spans="1:2" x14ac:dyDescent="0.45">
      <c r="A37" s="2" t="s">
        <v>15</v>
      </c>
      <c r="B37" s="12">
        <v>23</v>
      </c>
    </row>
    <row r="38" spans="1:2" x14ac:dyDescent="0.45">
      <c r="A38" s="2" t="s">
        <v>12</v>
      </c>
      <c r="B38" s="12">
        <v>24</v>
      </c>
    </row>
    <row r="39" spans="1:2" x14ac:dyDescent="0.45">
      <c r="A39" s="2" t="s">
        <v>21</v>
      </c>
      <c r="B39" s="12">
        <v>24</v>
      </c>
    </row>
    <row r="40" spans="1:2" x14ac:dyDescent="0.45">
      <c r="A40" s="2" t="s">
        <v>17</v>
      </c>
      <c r="B40" s="12">
        <v>24</v>
      </c>
    </row>
    <row r="41" spans="1:2" x14ac:dyDescent="0.45">
      <c r="A41" s="2" t="s">
        <v>24</v>
      </c>
      <c r="B41" s="12">
        <v>25</v>
      </c>
    </row>
    <row r="42" spans="1:2" x14ac:dyDescent="0.45">
      <c r="A42" s="2" t="s">
        <v>29</v>
      </c>
      <c r="B42" s="12">
        <v>400</v>
      </c>
    </row>
  </sheetData>
  <pageMargins left="0.7" right="0.7" top="0.78740157499999996" bottom="0.78740157499999996"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7F22-BEB1-40F3-98C3-1B0B89628852}">
  <sheetPr>
    <tabColor theme="0" tint="-0.34998626667073579"/>
  </sheetPr>
  <dimension ref="A1:H401"/>
  <sheetViews>
    <sheetView topLeftCell="A372" workbookViewId="0">
      <selection activeCell="C20" sqref="C20"/>
    </sheetView>
  </sheetViews>
  <sheetFormatPr baseColWidth="10" defaultRowHeight="14.25" x14ac:dyDescent="0.45"/>
  <cols>
    <col min="1" max="1" width="9.796875" bestFit="1" customWidth="1"/>
    <col min="2" max="2" width="12.3984375" bestFit="1" customWidth="1"/>
    <col min="3" max="3" width="11.3984375" bestFit="1" customWidth="1"/>
    <col min="4" max="4" width="6.796875" bestFit="1" customWidth="1"/>
    <col min="5" max="5" width="11.73046875" bestFit="1" customWidth="1"/>
    <col min="6" max="6" width="13.1328125" bestFit="1" customWidth="1"/>
    <col min="7" max="7" width="12.265625" bestFit="1" customWidth="1"/>
    <col min="8" max="8" width="12.06640625" bestFit="1" customWidth="1"/>
  </cols>
  <sheetData>
    <row r="1" spans="1:8" x14ac:dyDescent="0.45">
      <c r="A1" t="s">
        <v>0</v>
      </c>
      <c r="B1" t="s">
        <v>1</v>
      </c>
      <c r="C1" t="s">
        <v>2</v>
      </c>
      <c r="D1" t="s">
        <v>41</v>
      </c>
      <c r="E1" t="s">
        <v>3</v>
      </c>
      <c r="F1" t="s">
        <v>4</v>
      </c>
      <c r="G1" t="s">
        <v>42</v>
      </c>
      <c r="H1" t="s">
        <v>5</v>
      </c>
    </row>
    <row r="2" spans="1:8" x14ac:dyDescent="0.45">
      <c r="A2" s="3">
        <v>46035</v>
      </c>
      <c r="B2" s="12" t="s">
        <v>43</v>
      </c>
      <c r="C2" s="12" t="s">
        <v>21</v>
      </c>
      <c r="D2">
        <v>7</v>
      </c>
      <c r="E2">
        <v>100</v>
      </c>
      <c r="F2">
        <v>100</v>
      </c>
      <c r="G2">
        <v>0</v>
      </c>
      <c r="H2" s="12" t="s">
        <v>7</v>
      </c>
    </row>
    <row r="3" spans="1:8" x14ac:dyDescent="0.45">
      <c r="A3" s="3">
        <v>46137</v>
      </c>
      <c r="B3" s="12" t="s">
        <v>44</v>
      </c>
      <c r="C3" s="12" t="s">
        <v>15</v>
      </c>
      <c r="D3">
        <v>9</v>
      </c>
      <c r="E3">
        <v>90</v>
      </c>
      <c r="F3">
        <v>60</v>
      </c>
      <c r="G3">
        <v>30</v>
      </c>
      <c r="H3" s="12" t="s">
        <v>45</v>
      </c>
    </row>
    <row r="4" spans="1:8" x14ac:dyDescent="0.45">
      <c r="A4" s="3">
        <v>46239</v>
      </c>
      <c r="B4" s="12" t="s">
        <v>46</v>
      </c>
      <c r="C4" s="12" t="s">
        <v>17</v>
      </c>
      <c r="D4">
        <v>7</v>
      </c>
      <c r="E4">
        <v>80</v>
      </c>
      <c r="F4">
        <v>50</v>
      </c>
      <c r="G4">
        <v>30</v>
      </c>
      <c r="H4" s="12" t="s">
        <v>47</v>
      </c>
    </row>
    <row r="5" spans="1:8" x14ac:dyDescent="0.45">
      <c r="A5" s="3">
        <v>46142</v>
      </c>
      <c r="B5" s="12" t="s">
        <v>48</v>
      </c>
      <c r="C5" s="12" t="s">
        <v>25</v>
      </c>
      <c r="D5">
        <v>9</v>
      </c>
      <c r="E5">
        <v>100</v>
      </c>
      <c r="F5">
        <v>100</v>
      </c>
      <c r="G5">
        <v>0</v>
      </c>
      <c r="H5" s="12" t="s">
        <v>7</v>
      </c>
    </row>
    <row r="6" spans="1:8" x14ac:dyDescent="0.45">
      <c r="A6" s="3">
        <v>46124</v>
      </c>
      <c r="B6" s="12" t="s">
        <v>49</v>
      </c>
      <c r="C6" s="12" t="s">
        <v>8</v>
      </c>
      <c r="D6">
        <v>6</v>
      </c>
      <c r="E6">
        <v>120</v>
      </c>
      <c r="F6">
        <v>120</v>
      </c>
      <c r="G6">
        <v>0</v>
      </c>
      <c r="H6" s="12" t="s">
        <v>7</v>
      </c>
    </row>
    <row r="7" spans="1:8" x14ac:dyDescent="0.45">
      <c r="A7" s="3">
        <v>46237</v>
      </c>
      <c r="B7" s="12" t="s">
        <v>50</v>
      </c>
      <c r="C7" s="12" t="s">
        <v>21</v>
      </c>
      <c r="D7">
        <v>14</v>
      </c>
      <c r="E7">
        <v>100</v>
      </c>
      <c r="F7">
        <v>70</v>
      </c>
      <c r="G7">
        <v>30</v>
      </c>
      <c r="H7" s="12" t="s">
        <v>51</v>
      </c>
    </row>
    <row r="8" spans="1:8" x14ac:dyDescent="0.45">
      <c r="A8" s="3">
        <v>46026</v>
      </c>
      <c r="B8" s="12" t="s">
        <v>52</v>
      </c>
      <c r="C8" s="12" t="s">
        <v>16</v>
      </c>
      <c r="D8">
        <v>10</v>
      </c>
      <c r="E8">
        <v>120</v>
      </c>
      <c r="F8">
        <v>120</v>
      </c>
      <c r="G8">
        <v>0</v>
      </c>
      <c r="H8" s="12" t="s">
        <v>7</v>
      </c>
    </row>
    <row r="9" spans="1:8" x14ac:dyDescent="0.45">
      <c r="A9" s="3">
        <v>46197</v>
      </c>
      <c r="B9" s="12" t="s">
        <v>53</v>
      </c>
      <c r="C9" s="12" t="s">
        <v>10</v>
      </c>
      <c r="D9">
        <v>12</v>
      </c>
      <c r="E9">
        <v>70</v>
      </c>
      <c r="F9">
        <v>30</v>
      </c>
      <c r="G9">
        <v>40</v>
      </c>
      <c r="H9" s="12" t="s">
        <v>54</v>
      </c>
    </row>
    <row r="10" spans="1:8" x14ac:dyDescent="0.45">
      <c r="A10" s="3">
        <v>46075</v>
      </c>
      <c r="B10" s="12" t="s">
        <v>55</v>
      </c>
      <c r="C10" s="12" t="s">
        <v>6</v>
      </c>
      <c r="D10">
        <v>11</v>
      </c>
      <c r="E10">
        <v>90</v>
      </c>
      <c r="F10">
        <v>60</v>
      </c>
      <c r="G10">
        <v>30</v>
      </c>
      <c r="H10" s="12" t="s">
        <v>56</v>
      </c>
    </row>
    <row r="11" spans="1:8" x14ac:dyDescent="0.45">
      <c r="A11" s="3">
        <v>46199</v>
      </c>
      <c r="B11" s="12" t="s">
        <v>57</v>
      </c>
      <c r="C11" s="12" t="s">
        <v>9</v>
      </c>
      <c r="D11">
        <v>11</v>
      </c>
      <c r="E11">
        <v>90</v>
      </c>
      <c r="F11">
        <v>90</v>
      </c>
      <c r="G11">
        <v>0</v>
      </c>
      <c r="H11" s="12" t="s">
        <v>7</v>
      </c>
    </row>
    <row r="12" spans="1:8" x14ac:dyDescent="0.45">
      <c r="A12" s="3">
        <v>46258</v>
      </c>
      <c r="B12" s="12" t="s">
        <v>58</v>
      </c>
      <c r="C12" s="12" t="s">
        <v>15</v>
      </c>
      <c r="D12">
        <v>6</v>
      </c>
      <c r="E12">
        <v>90</v>
      </c>
      <c r="F12">
        <v>90</v>
      </c>
      <c r="G12">
        <v>0</v>
      </c>
      <c r="H12" s="12" t="s">
        <v>7</v>
      </c>
    </row>
    <row r="13" spans="1:8" x14ac:dyDescent="0.45">
      <c r="A13" s="3">
        <v>46063</v>
      </c>
      <c r="B13" s="12" t="s">
        <v>59</v>
      </c>
      <c r="C13" s="12" t="s">
        <v>9</v>
      </c>
      <c r="D13">
        <v>12</v>
      </c>
      <c r="E13">
        <v>90</v>
      </c>
      <c r="F13">
        <v>90</v>
      </c>
      <c r="G13">
        <v>0</v>
      </c>
      <c r="H13" s="12" t="s">
        <v>7</v>
      </c>
    </row>
    <row r="14" spans="1:8" x14ac:dyDescent="0.45">
      <c r="A14" s="3">
        <v>46208</v>
      </c>
      <c r="B14" s="12" t="s">
        <v>60</v>
      </c>
      <c r="C14" s="12" t="s">
        <v>26</v>
      </c>
      <c r="D14">
        <v>15</v>
      </c>
      <c r="E14">
        <v>80</v>
      </c>
      <c r="F14">
        <v>80</v>
      </c>
      <c r="G14">
        <v>0</v>
      </c>
      <c r="H14" s="12" t="s">
        <v>7</v>
      </c>
    </row>
    <row r="15" spans="1:8" x14ac:dyDescent="0.45">
      <c r="A15" s="3">
        <v>46046</v>
      </c>
      <c r="B15" s="12" t="s">
        <v>61</v>
      </c>
      <c r="C15" s="12" t="s">
        <v>6</v>
      </c>
      <c r="D15">
        <v>7</v>
      </c>
      <c r="E15">
        <v>90</v>
      </c>
      <c r="F15">
        <v>90</v>
      </c>
      <c r="G15">
        <v>0</v>
      </c>
      <c r="H15" s="12" t="s">
        <v>7</v>
      </c>
    </row>
    <row r="16" spans="1:8" x14ac:dyDescent="0.45">
      <c r="A16" s="3">
        <v>46063</v>
      </c>
      <c r="B16" s="12" t="s">
        <v>62</v>
      </c>
      <c r="C16" s="12" t="s">
        <v>24</v>
      </c>
      <c r="D16">
        <v>10</v>
      </c>
      <c r="E16">
        <v>120</v>
      </c>
      <c r="F16">
        <v>95</v>
      </c>
      <c r="G16">
        <v>25</v>
      </c>
      <c r="H16" s="12" t="s">
        <v>63</v>
      </c>
    </row>
    <row r="17" spans="1:8" x14ac:dyDescent="0.45">
      <c r="A17" s="3">
        <v>46255</v>
      </c>
      <c r="B17" s="12" t="s">
        <v>64</v>
      </c>
      <c r="C17" s="12" t="s">
        <v>13</v>
      </c>
      <c r="D17">
        <v>10</v>
      </c>
      <c r="E17">
        <v>90</v>
      </c>
      <c r="F17">
        <v>90</v>
      </c>
      <c r="G17">
        <v>0</v>
      </c>
      <c r="H17" s="12" t="s">
        <v>7</v>
      </c>
    </row>
    <row r="18" spans="1:8" x14ac:dyDescent="0.45">
      <c r="A18" s="3">
        <v>46212</v>
      </c>
      <c r="B18" s="12" t="s">
        <v>65</v>
      </c>
      <c r="C18" s="12" t="s">
        <v>23</v>
      </c>
      <c r="D18">
        <v>8</v>
      </c>
      <c r="E18">
        <v>90</v>
      </c>
      <c r="F18">
        <v>60</v>
      </c>
      <c r="G18">
        <v>30</v>
      </c>
      <c r="H18" s="12" t="s">
        <v>66</v>
      </c>
    </row>
    <row r="19" spans="1:8" x14ac:dyDescent="0.45">
      <c r="A19" s="3">
        <v>46110</v>
      </c>
      <c r="B19" s="12" t="s">
        <v>67</v>
      </c>
      <c r="C19" s="12" t="s">
        <v>15</v>
      </c>
      <c r="D19">
        <v>7</v>
      </c>
      <c r="E19">
        <v>90</v>
      </c>
      <c r="F19">
        <v>90</v>
      </c>
      <c r="G19">
        <v>0</v>
      </c>
      <c r="H19" s="12" t="s">
        <v>7</v>
      </c>
    </row>
    <row r="20" spans="1:8" x14ac:dyDescent="0.45">
      <c r="A20" s="3">
        <v>46259</v>
      </c>
      <c r="B20" s="12" t="s">
        <v>68</v>
      </c>
      <c r="C20" s="12" t="s">
        <v>24</v>
      </c>
      <c r="D20">
        <v>8</v>
      </c>
      <c r="E20">
        <v>120</v>
      </c>
      <c r="F20">
        <v>95</v>
      </c>
      <c r="G20">
        <v>25</v>
      </c>
      <c r="H20" s="12" t="s">
        <v>69</v>
      </c>
    </row>
    <row r="21" spans="1:8" x14ac:dyDescent="0.45">
      <c r="A21" s="3">
        <v>46135</v>
      </c>
      <c r="B21" s="12" t="s">
        <v>70</v>
      </c>
      <c r="C21" s="12" t="s">
        <v>21</v>
      </c>
      <c r="D21">
        <v>14</v>
      </c>
      <c r="E21">
        <v>100</v>
      </c>
      <c r="F21">
        <v>100</v>
      </c>
      <c r="G21">
        <v>0</v>
      </c>
      <c r="H21" s="12" t="s">
        <v>7</v>
      </c>
    </row>
    <row r="22" spans="1:8" x14ac:dyDescent="0.45">
      <c r="A22" s="3">
        <v>46140</v>
      </c>
      <c r="B22" s="12" t="s">
        <v>71</v>
      </c>
      <c r="C22" s="12" t="s">
        <v>22</v>
      </c>
      <c r="D22">
        <v>6</v>
      </c>
      <c r="E22">
        <v>120</v>
      </c>
      <c r="F22">
        <v>90</v>
      </c>
      <c r="G22">
        <v>30</v>
      </c>
      <c r="H22" s="12" t="s">
        <v>72</v>
      </c>
    </row>
    <row r="23" spans="1:8" x14ac:dyDescent="0.45">
      <c r="A23" s="3">
        <v>46056</v>
      </c>
      <c r="B23" s="12" t="s">
        <v>73</v>
      </c>
      <c r="C23" s="12" t="s">
        <v>13</v>
      </c>
      <c r="D23">
        <v>10</v>
      </c>
      <c r="E23">
        <v>90</v>
      </c>
      <c r="F23">
        <v>60</v>
      </c>
      <c r="G23">
        <v>30</v>
      </c>
      <c r="H23" s="12" t="s">
        <v>74</v>
      </c>
    </row>
    <row r="24" spans="1:8" x14ac:dyDescent="0.45">
      <c r="A24" s="3">
        <v>46278</v>
      </c>
      <c r="B24" s="12" t="s">
        <v>75</v>
      </c>
      <c r="C24" s="12" t="s">
        <v>22</v>
      </c>
      <c r="D24">
        <v>9</v>
      </c>
      <c r="E24">
        <v>120</v>
      </c>
      <c r="F24">
        <v>90</v>
      </c>
      <c r="G24">
        <v>30</v>
      </c>
      <c r="H24" s="12" t="s">
        <v>76</v>
      </c>
    </row>
    <row r="25" spans="1:8" x14ac:dyDescent="0.45">
      <c r="A25" s="3">
        <v>46094</v>
      </c>
      <c r="B25" s="12" t="s">
        <v>77</v>
      </c>
      <c r="C25" s="12" t="s">
        <v>18</v>
      </c>
      <c r="D25">
        <v>10</v>
      </c>
      <c r="E25">
        <v>90</v>
      </c>
      <c r="F25">
        <v>65</v>
      </c>
      <c r="G25">
        <v>25</v>
      </c>
      <c r="H25" s="12" t="s">
        <v>78</v>
      </c>
    </row>
    <row r="26" spans="1:8" x14ac:dyDescent="0.45">
      <c r="A26" s="3">
        <v>46242</v>
      </c>
      <c r="B26" s="12" t="s">
        <v>79</v>
      </c>
      <c r="C26" s="12" t="s">
        <v>17</v>
      </c>
      <c r="D26">
        <v>10</v>
      </c>
      <c r="E26">
        <v>80</v>
      </c>
      <c r="F26">
        <v>80</v>
      </c>
      <c r="G26">
        <v>0</v>
      </c>
      <c r="H26" s="12" t="s">
        <v>7</v>
      </c>
    </row>
    <row r="27" spans="1:8" x14ac:dyDescent="0.45">
      <c r="A27" s="3">
        <v>46135</v>
      </c>
      <c r="B27" s="12" t="s">
        <v>80</v>
      </c>
      <c r="C27" s="12" t="s">
        <v>13</v>
      </c>
      <c r="D27">
        <v>11</v>
      </c>
      <c r="E27">
        <v>90</v>
      </c>
      <c r="F27">
        <v>60</v>
      </c>
      <c r="G27">
        <v>30</v>
      </c>
      <c r="H27" s="12" t="s">
        <v>81</v>
      </c>
    </row>
    <row r="28" spans="1:8" x14ac:dyDescent="0.45">
      <c r="A28" s="3">
        <v>46047</v>
      </c>
      <c r="B28" s="12" t="s">
        <v>82</v>
      </c>
      <c r="C28" s="12" t="s">
        <v>19</v>
      </c>
      <c r="D28">
        <v>7</v>
      </c>
      <c r="E28">
        <v>100</v>
      </c>
      <c r="F28">
        <v>80</v>
      </c>
      <c r="G28">
        <v>20</v>
      </c>
      <c r="H28" s="12" t="s">
        <v>54</v>
      </c>
    </row>
    <row r="29" spans="1:8" x14ac:dyDescent="0.45">
      <c r="A29" s="3">
        <v>46239</v>
      </c>
      <c r="B29" s="12" t="s">
        <v>83</v>
      </c>
      <c r="C29" s="12" t="s">
        <v>21</v>
      </c>
      <c r="D29">
        <v>8</v>
      </c>
      <c r="E29">
        <v>100</v>
      </c>
      <c r="F29">
        <v>100</v>
      </c>
      <c r="G29">
        <v>0</v>
      </c>
      <c r="H29" s="12" t="s">
        <v>7</v>
      </c>
    </row>
    <row r="30" spans="1:8" x14ac:dyDescent="0.45">
      <c r="A30" s="3">
        <v>46218</v>
      </c>
      <c r="B30" s="12" t="s">
        <v>84</v>
      </c>
      <c r="C30" s="12" t="s">
        <v>25</v>
      </c>
      <c r="D30">
        <v>12</v>
      </c>
      <c r="E30">
        <v>100</v>
      </c>
      <c r="F30">
        <v>100</v>
      </c>
      <c r="G30">
        <v>0</v>
      </c>
      <c r="H30" s="12" t="s">
        <v>7</v>
      </c>
    </row>
    <row r="31" spans="1:8" x14ac:dyDescent="0.45">
      <c r="A31" s="3">
        <v>46151</v>
      </c>
      <c r="B31" s="12" t="s">
        <v>85</v>
      </c>
      <c r="C31" s="12" t="s">
        <v>12</v>
      </c>
      <c r="D31">
        <v>14</v>
      </c>
      <c r="E31">
        <v>100</v>
      </c>
      <c r="F31">
        <v>100</v>
      </c>
      <c r="G31">
        <v>0</v>
      </c>
      <c r="H31" s="12" t="s">
        <v>7</v>
      </c>
    </row>
    <row r="32" spans="1:8" x14ac:dyDescent="0.45">
      <c r="A32" s="3">
        <v>46159</v>
      </c>
      <c r="B32" s="12" t="s">
        <v>86</v>
      </c>
      <c r="C32" s="12" t="s">
        <v>20</v>
      </c>
      <c r="D32">
        <v>7</v>
      </c>
      <c r="E32">
        <v>90</v>
      </c>
      <c r="F32">
        <v>90</v>
      </c>
      <c r="G32">
        <v>0</v>
      </c>
      <c r="H32" s="12" t="s">
        <v>7</v>
      </c>
    </row>
    <row r="33" spans="1:8" x14ac:dyDescent="0.45">
      <c r="A33" s="3">
        <v>46080</v>
      </c>
      <c r="B33" s="12" t="s">
        <v>87</v>
      </c>
      <c r="C33" s="12" t="s">
        <v>21</v>
      </c>
      <c r="D33">
        <v>11</v>
      </c>
      <c r="E33">
        <v>100</v>
      </c>
      <c r="F33">
        <v>70</v>
      </c>
      <c r="G33">
        <v>30</v>
      </c>
      <c r="H33" s="12" t="s">
        <v>88</v>
      </c>
    </row>
    <row r="34" spans="1:8" x14ac:dyDescent="0.45">
      <c r="A34" s="3">
        <v>46024</v>
      </c>
      <c r="B34" s="12" t="s">
        <v>89</v>
      </c>
      <c r="C34" s="12" t="s">
        <v>10</v>
      </c>
      <c r="D34">
        <v>13</v>
      </c>
      <c r="E34">
        <v>70</v>
      </c>
      <c r="F34">
        <v>70</v>
      </c>
      <c r="G34">
        <v>0</v>
      </c>
      <c r="H34" s="12" t="s">
        <v>7</v>
      </c>
    </row>
    <row r="35" spans="1:8" x14ac:dyDescent="0.45">
      <c r="A35" s="3">
        <v>46114</v>
      </c>
      <c r="B35" s="12" t="s">
        <v>90</v>
      </c>
      <c r="C35" s="12" t="s">
        <v>15</v>
      </c>
      <c r="D35">
        <v>14</v>
      </c>
      <c r="E35">
        <v>90</v>
      </c>
      <c r="F35">
        <v>90</v>
      </c>
      <c r="G35">
        <v>0</v>
      </c>
      <c r="H35" s="12" t="s">
        <v>7</v>
      </c>
    </row>
    <row r="36" spans="1:8" x14ac:dyDescent="0.45">
      <c r="A36" s="3">
        <v>46282</v>
      </c>
      <c r="B36" s="12" t="s">
        <v>91</v>
      </c>
      <c r="C36" s="12" t="s">
        <v>9</v>
      </c>
      <c r="D36">
        <v>10</v>
      </c>
      <c r="E36">
        <v>90</v>
      </c>
      <c r="F36">
        <v>90</v>
      </c>
      <c r="G36">
        <v>0</v>
      </c>
      <c r="H36" s="12" t="s">
        <v>7</v>
      </c>
    </row>
    <row r="37" spans="1:8" x14ac:dyDescent="0.45">
      <c r="A37" s="3">
        <v>46214</v>
      </c>
      <c r="B37" s="12" t="s">
        <v>92</v>
      </c>
      <c r="C37" s="12" t="s">
        <v>6</v>
      </c>
      <c r="D37">
        <v>8</v>
      </c>
      <c r="E37">
        <v>90</v>
      </c>
      <c r="F37">
        <v>90</v>
      </c>
      <c r="G37">
        <v>0</v>
      </c>
      <c r="H37" s="12" t="s">
        <v>7</v>
      </c>
    </row>
    <row r="38" spans="1:8" x14ac:dyDescent="0.45">
      <c r="A38" s="3">
        <v>46294</v>
      </c>
      <c r="B38" s="12" t="s">
        <v>93</v>
      </c>
      <c r="C38" s="12" t="s">
        <v>10</v>
      </c>
      <c r="D38">
        <v>14</v>
      </c>
      <c r="E38">
        <v>70</v>
      </c>
      <c r="F38">
        <v>30</v>
      </c>
      <c r="G38">
        <v>40</v>
      </c>
      <c r="H38" s="12" t="s">
        <v>94</v>
      </c>
    </row>
    <row r="39" spans="1:8" x14ac:dyDescent="0.45">
      <c r="A39" s="3">
        <v>46080</v>
      </c>
      <c r="B39" s="12" t="s">
        <v>95</v>
      </c>
      <c r="C39" s="12" t="s">
        <v>19</v>
      </c>
      <c r="D39">
        <v>6</v>
      </c>
      <c r="E39">
        <v>100</v>
      </c>
      <c r="F39">
        <v>80</v>
      </c>
      <c r="G39">
        <v>20</v>
      </c>
      <c r="H39" s="12" t="s">
        <v>96</v>
      </c>
    </row>
    <row r="40" spans="1:8" x14ac:dyDescent="0.45">
      <c r="A40" s="3">
        <v>46146</v>
      </c>
      <c r="B40" s="12" t="s">
        <v>97</v>
      </c>
      <c r="C40" s="12" t="s">
        <v>24</v>
      </c>
      <c r="D40">
        <v>6</v>
      </c>
      <c r="E40">
        <v>120</v>
      </c>
      <c r="F40">
        <v>120</v>
      </c>
      <c r="G40">
        <v>0</v>
      </c>
      <c r="H40" s="12" t="s">
        <v>7</v>
      </c>
    </row>
    <row r="41" spans="1:8" x14ac:dyDescent="0.45">
      <c r="A41" s="3">
        <v>46271</v>
      </c>
      <c r="B41" s="12" t="s">
        <v>98</v>
      </c>
      <c r="C41" s="12" t="s">
        <v>25</v>
      </c>
      <c r="D41">
        <v>7</v>
      </c>
      <c r="E41">
        <v>100</v>
      </c>
      <c r="F41">
        <v>60</v>
      </c>
      <c r="G41">
        <v>40</v>
      </c>
      <c r="H41" s="12" t="s">
        <v>99</v>
      </c>
    </row>
    <row r="42" spans="1:8" x14ac:dyDescent="0.45">
      <c r="A42" s="3">
        <v>46266</v>
      </c>
      <c r="B42" s="12" t="s">
        <v>100</v>
      </c>
      <c r="C42" s="12" t="s">
        <v>18</v>
      </c>
      <c r="D42">
        <v>8</v>
      </c>
      <c r="E42">
        <v>90</v>
      </c>
      <c r="F42">
        <v>90</v>
      </c>
      <c r="G42">
        <v>0</v>
      </c>
      <c r="H42" s="12" t="s">
        <v>7</v>
      </c>
    </row>
    <row r="43" spans="1:8" x14ac:dyDescent="0.45">
      <c r="A43" s="3">
        <v>46293</v>
      </c>
      <c r="B43" s="12" t="s">
        <v>101</v>
      </c>
      <c r="C43" s="12" t="s">
        <v>10</v>
      </c>
      <c r="D43">
        <v>10</v>
      </c>
      <c r="E43">
        <v>70</v>
      </c>
      <c r="F43">
        <v>70</v>
      </c>
      <c r="G43">
        <v>0</v>
      </c>
      <c r="H43" s="12" t="s">
        <v>7</v>
      </c>
    </row>
    <row r="44" spans="1:8" x14ac:dyDescent="0.45">
      <c r="A44" s="3">
        <v>46125</v>
      </c>
      <c r="B44" s="12" t="s">
        <v>102</v>
      </c>
      <c r="C44" s="12" t="s">
        <v>14</v>
      </c>
      <c r="D44">
        <v>9</v>
      </c>
      <c r="E44">
        <v>120</v>
      </c>
      <c r="F44">
        <v>120</v>
      </c>
      <c r="G44">
        <v>0</v>
      </c>
      <c r="H44" s="12" t="s">
        <v>7</v>
      </c>
    </row>
    <row r="45" spans="1:8" x14ac:dyDescent="0.45">
      <c r="A45" s="3">
        <v>46214</v>
      </c>
      <c r="B45" s="12" t="s">
        <v>103</v>
      </c>
      <c r="C45" s="12" t="s">
        <v>26</v>
      </c>
      <c r="D45">
        <v>12</v>
      </c>
      <c r="E45">
        <v>80</v>
      </c>
      <c r="F45">
        <v>40</v>
      </c>
      <c r="G45">
        <v>40</v>
      </c>
      <c r="H45" s="12" t="s">
        <v>104</v>
      </c>
    </row>
    <row r="46" spans="1:8" x14ac:dyDescent="0.45">
      <c r="A46" s="3">
        <v>46149</v>
      </c>
      <c r="B46" s="12" t="s">
        <v>105</v>
      </c>
      <c r="C46" s="12" t="s">
        <v>12</v>
      </c>
      <c r="D46">
        <v>7</v>
      </c>
      <c r="E46">
        <v>100</v>
      </c>
      <c r="F46">
        <v>70</v>
      </c>
      <c r="G46">
        <v>30</v>
      </c>
      <c r="H46" s="12" t="s">
        <v>106</v>
      </c>
    </row>
    <row r="47" spans="1:8" x14ac:dyDescent="0.45">
      <c r="A47" s="3">
        <v>46140</v>
      </c>
      <c r="B47" s="12" t="s">
        <v>107</v>
      </c>
      <c r="C47" s="12" t="s">
        <v>22</v>
      </c>
      <c r="D47">
        <v>6</v>
      </c>
      <c r="E47">
        <v>120</v>
      </c>
      <c r="F47">
        <v>120</v>
      </c>
      <c r="G47">
        <v>0</v>
      </c>
      <c r="H47" s="12" t="s">
        <v>7</v>
      </c>
    </row>
    <row r="48" spans="1:8" x14ac:dyDescent="0.45">
      <c r="A48" s="3">
        <v>46059</v>
      </c>
      <c r="B48" s="12" t="s">
        <v>108</v>
      </c>
      <c r="C48" s="12" t="s">
        <v>24</v>
      </c>
      <c r="D48">
        <v>6</v>
      </c>
      <c r="E48">
        <v>120</v>
      </c>
      <c r="F48">
        <v>120</v>
      </c>
      <c r="G48">
        <v>0</v>
      </c>
      <c r="H48" s="12" t="s">
        <v>7</v>
      </c>
    </row>
    <row r="49" spans="1:8" x14ac:dyDescent="0.45">
      <c r="A49" s="3">
        <v>46140</v>
      </c>
      <c r="B49" s="12" t="s">
        <v>109</v>
      </c>
      <c r="C49" s="12" t="s">
        <v>21</v>
      </c>
      <c r="D49">
        <v>6</v>
      </c>
      <c r="E49">
        <v>100</v>
      </c>
      <c r="F49">
        <v>70</v>
      </c>
      <c r="G49">
        <v>30</v>
      </c>
      <c r="H49" s="12" t="s">
        <v>110</v>
      </c>
    </row>
    <row r="50" spans="1:8" x14ac:dyDescent="0.45">
      <c r="A50" s="3">
        <v>46286</v>
      </c>
      <c r="B50" s="12" t="s">
        <v>111</v>
      </c>
      <c r="C50" s="12" t="s">
        <v>22</v>
      </c>
      <c r="D50">
        <v>7</v>
      </c>
      <c r="E50">
        <v>120</v>
      </c>
      <c r="F50">
        <v>90</v>
      </c>
      <c r="G50">
        <v>30</v>
      </c>
      <c r="H50" s="12" t="s">
        <v>112</v>
      </c>
    </row>
    <row r="51" spans="1:8" x14ac:dyDescent="0.45">
      <c r="A51" s="3">
        <v>46090</v>
      </c>
      <c r="B51" s="12" t="s">
        <v>113</v>
      </c>
      <c r="C51" s="12" t="s">
        <v>19</v>
      </c>
      <c r="D51">
        <v>9</v>
      </c>
      <c r="E51">
        <v>100</v>
      </c>
      <c r="F51">
        <v>100</v>
      </c>
      <c r="G51">
        <v>0</v>
      </c>
      <c r="H51" s="12" t="s">
        <v>7</v>
      </c>
    </row>
    <row r="52" spans="1:8" x14ac:dyDescent="0.45">
      <c r="A52" s="3">
        <v>46265</v>
      </c>
      <c r="B52" s="12" t="s">
        <v>114</v>
      </c>
      <c r="C52" s="12" t="s">
        <v>16</v>
      </c>
      <c r="D52">
        <v>15</v>
      </c>
      <c r="E52">
        <v>120</v>
      </c>
      <c r="F52">
        <v>80</v>
      </c>
      <c r="G52">
        <v>40</v>
      </c>
      <c r="H52" s="12" t="s">
        <v>115</v>
      </c>
    </row>
    <row r="53" spans="1:8" x14ac:dyDescent="0.45">
      <c r="A53" s="3">
        <v>46071</v>
      </c>
      <c r="B53" s="12" t="s">
        <v>116</v>
      </c>
      <c r="C53" s="12" t="s">
        <v>14</v>
      </c>
      <c r="D53">
        <v>9</v>
      </c>
      <c r="E53">
        <v>120</v>
      </c>
      <c r="F53">
        <v>100</v>
      </c>
      <c r="G53">
        <v>20</v>
      </c>
      <c r="H53" s="12" t="s">
        <v>117</v>
      </c>
    </row>
    <row r="54" spans="1:8" x14ac:dyDescent="0.45">
      <c r="A54" s="3">
        <v>46233</v>
      </c>
      <c r="B54" s="12" t="s">
        <v>118</v>
      </c>
      <c r="C54" s="12" t="s">
        <v>23</v>
      </c>
      <c r="D54">
        <v>12</v>
      </c>
      <c r="E54">
        <v>90</v>
      </c>
      <c r="F54">
        <v>60</v>
      </c>
      <c r="G54">
        <v>30</v>
      </c>
      <c r="H54" s="12" t="s">
        <v>119</v>
      </c>
    </row>
    <row r="55" spans="1:8" x14ac:dyDescent="0.45">
      <c r="A55" s="3">
        <v>46054</v>
      </c>
      <c r="B55" s="12" t="s">
        <v>120</v>
      </c>
      <c r="C55" s="12" t="s">
        <v>21</v>
      </c>
      <c r="D55">
        <v>7</v>
      </c>
      <c r="E55">
        <v>100</v>
      </c>
      <c r="F55">
        <v>70</v>
      </c>
      <c r="G55">
        <v>30</v>
      </c>
      <c r="H55" s="12" t="s">
        <v>121</v>
      </c>
    </row>
    <row r="56" spans="1:8" x14ac:dyDescent="0.45">
      <c r="A56" s="3">
        <v>46121</v>
      </c>
      <c r="B56" s="12" t="s">
        <v>122</v>
      </c>
      <c r="C56" s="12" t="s">
        <v>9</v>
      </c>
      <c r="D56">
        <v>9</v>
      </c>
      <c r="E56">
        <v>90</v>
      </c>
      <c r="F56">
        <v>60</v>
      </c>
      <c r="G56">
        <v>30</v>
      </c>
      <c r="H56" s="12" t="s">
        <v>123</v>
      </c>
    </row>
    <row r="57" spans="1:8" x14ac:dyDescent="0.45">
      <c r="A57" s="3">
        <v>46239</v>
      </c>
      <c r="B57" s="12" t="s">
        <v>124</v>
      </c>
      <c r="C57" s="12" t="s">
        <v>12</v>
      </c>
      <c r="D57">
        <v>8</v>
      </c>
      <c r="E57">
        <v>100</v>
      </c>
      <c r="F57">
        <v>70</v>
      </c>
      <c r="G57">
        <v>30</v>
      </c>
      <c r="H57" s="12" t="s">
        <v>112</v>
      </c>
    </row>
    <row r="58" spans="1:8" x14ac:dyDescent="0.45">
      <c r="A58" s="3">
        <v>46061</v>
      </c>
      <c r="B58" s="12" t="s">
        <v>125</v>
      </c>
      <c r="C58" s="12" t="s">
        <v>12</v>
      </c>
      <c r="D58">
        <v>9</v>
      </c>
      <c r="E58">
        <v>100</v>
      </c>
      <c r="F58">
        <v>70</v>
      </c>
      <c r="G58">
        <v>30</v>
      </c>
      <c r="H58" s="12" t="s">
        <v>126</v>
      </c>
    </row>
    <row r="59" spans="1:8" x14ac:dyDescent="0.45">
      <c r="A59" s="3">
        <v>46030</v>
      </c>
      <c r="B59" s="12" t="s">
        <v>127</v>
      </c>
      <c r="C59" s="12" t="s">
        <v>9</v>
      </c>
      <c r="D59">
        <v>6</v>
      </c>
      <c r="E59">
        <v>90</v>
      </c>
      <c r="F59">
        <v>60</v>
      </c>
      <c r="G59">
        <v>30</v>
      </c>
      <c r="H59" s="12" t="s">
        <v>128</v>
      </c>
    </row>
    <row r="60" spans="1:8" x14ac:dyDescent="0.45">
      <c r="A60" s="3">
        <v>46271</v>
      </c>
      <c r="B60" s="12" t="s">
        <v>129</v>
      </c>
      <c r="C60" s="12" t="s">
        <v>10</v>
      </c>
      <c r="D60">
        <v>12</v>
      </c>
      <c r="E60">
        <v>70</v>
      </c>
      <c r="F60">
        <v>70</v>
      </c>
      <c r="G60">
        <v>0</v>
      </c>
      <c r="H60" s="12" t="s">
        <v>7</v>
      </c>
    </row>
    <row r="61" spans="1:8" x14ac:dyDescent="0.45">
      <c r="A61" s="3">
        <v>46053</v>
      </c>
      <c r="B61" s="12" t="s">
        <v>130</v>
      </c>
      <c r="C61" s="12" t="s">
        <v>6</v>
      </c>
      <c r="D61">
        <v>12</v>
      </c>
      <c r="E61">
        <v>90</v>
      </c>
      <c r="F61">
        <v>60</v>
      </c>
      <c r="G61">
        <v>30</v>
      </c>
      <c r="H61" s="12" t="s">
        <v>56</v>
      </c>
    </row>
    <row r="62" spans="1:8" x14ac:dyDescent="0.45">
      <c r="A62" s="3">
        <v>46158</v>
      </c>
      <c r="B62" s="12" t="s">
        <v>131</v>
      </c>
      <c r="C62" s="12" t="s">
        <v>20</v>
      </c>
      <c r="D62">
        <v>12</v>
      </c>
      <c r="E62">
        <v>90</v>
      </c>
      <c r="F62">
        <v>50</v>
      </c>
      <c r="G62">
        <v>40</v>
      </c>
      <c r="H62" s="12" t="s">
        <v>132</v>
      </c>
    </row>
    <row r="63" spans="1:8" x14ac:dyDescent="0.45">
      <c r="A63" s="3">
        <v>46272</v>
      </c>
      <c r="B63" s="12" t="s">
        <v>133</v>
      </c>
      <c r="C63" s="12" t="s">
        <v>14</v>
      </c>
      <c r="D63">
        <v>14</v>
      </c>
      <c r="E63">
        <v>120</v>
      </c>
      <c r="F63">
        <v>100</v>
      </c>
      <c r="G63">
        <v>20</v>
      </c>
      <c r="H63" s="12" t="s">
        <v>134</v>
      </c>
    </row>
    <row r="64" spans="1:8" x14ac:dyDescent="0.45">
      <c r="A64" s="3">
        <v>46052</v>
      </c>
      <c r="B64" s="12" t="s">
        <v>135</v>
      </c>
      <c r="C64" s="12" t="s">
        <v>26</v>
      </c>
      <c r="D64">
        <v>9</v>
      </c>
      <c r="E64">
        <v>80</v>
      </c>
      <c r="F64">
        <v>80</v>
      </c>
      <c r="G64">
        <v>0</v>
      </c>
      <c r="H64" s="12" t="s">
        <v>7</v>
      </c>
    </row>
    <row r="65" spans="1:8" x14ac:dyDescent="0.45">
      <c r="A65" s="3">
        <v>46183</v>
      </c>
      <c r="B65" s="12" t="s">
        <v>136</v>
      </c>
      <c r="C65" s="12" t="s">
        <v>17</v>
      </c>
      <c r="D65">
        <v>6</v>
      </c>
      <c r="E65">
        <v>80</v>
      </c>
      <c r="F65">
        <v>50</v>
      </c>
      <c r="G65">
        <v>30</v>
      </c>
      <c r="H65" s="12" t="s">
        <v>137</v>
      </c>
    </row>
    <row r="66" spans="1:8" x14ac:dyDescent="0.45">
      <c r="A66" s="3">
        <v>46280</v>
      </c>
      <c r="B66" s="12" t="s">
        <v>138</v>
      </c>
      <c r="C66" s="12" t="s">
        <v>16</v>
      </c>
      <c r="D66">
        <v>13</v>
      </c>
      <c r="E66">
        <v>120</v>
      </c>
      <c r="F66">
        <v>120</v>
      </c>
      <c r="G66">
        <v>0</v>
      </c>
      <c r="H66" s="12" t="s">
        <v>7</v>
      </c>
    </row>
    <row r="67" spans="1:8" x14ac:dyDescent="0.45">
      <c r="A67" s="3">
        <v>46283</v>
      </c>
      <c r="B67" s="12" t="s">
        <v>139</v>
      </c>
      <c r="C67" s="12" t="s">
        <v>10</v>
      </c>
      <c r="D67">
        <v>6</v>
      </c>
      <c r="E67">
        <v>70</v>
      </c>
      <c r="F67">
        <v>30</v>
      </c>
      <c r="G67">
        <v>40</v>
      </c>
      <c r="H67" s="12" t="s">
        <v>140</v>
      </c>
    </row>
    <row r="68" spans="1:8" x14ac:dyDescent="0.45">
      <c r="A68" s="3">
        <v>46057</v>
      </c>
      <c r="B68" s="12" t="s">
        <v>141</v>
      </c>
      <c r="C68" s="12" t="s">
        <v>25</v>
      </c>
      <c r="D68">
        <v>15</v>
      </c>
      <c r="E68">
        <v>100</v>
      </c>
      <c r="F68">
        <v>100</v>
      </c>
      <c r="G68">
        <v>0</v>
      </c>
      <c r="H68" s="12" t="s">
        <v>7</v>
      </c>
    </row>
    <row r="69" spans="1:8" x14ac:dyDescent="0.45">
      <c r="A69" s="3">
        <v>46084</v>
      </c>
      <c r="B69" s="12" t="s">
        <v>142</v>
      </c>
      <c r="C69" s="12" t="s">
        <v>24</v>
      </c>
      <c r="D69">
        <v>12</v>
      </c>
      <c r="E69">
        <v>120</v>
      </c>
      <c r="F69">
        <v>120</v>
      </c>
      <c r="G69">
        <v>0</v>
      </c>
      <c r="H69" s="12" t="s">
        <v>7</v>
      </c>
    </row>
    <row r="70" spans="1:8" x14ac:dyDescent="0.45">
      <c r="A70" s="3">
        <v>46043</v>
      </c>
      <c r="B70" s="12" t="s">
        <v>143</v>
      </c>
      <c r="C70" s="12" t="s">
        <v>24</v>
      </c>
      <c r="D70">
        <v>15</v>
      </c>
      <c r="E70">
        <v>120</v>
      </c>
      <c r="F70">
        <v>120</v>
      </c>
      <c r="G70">
        <v>0</v>
      </c>
      <c r="H70" s="12" t="s">
        <v>7</v>
      </c>
    </row>
    <row r="71" spans="1:8" x14ac:dyDescent="0.45">
      <c r="A71" s="3">
        <v>46290</v>
      </c>
      <c r="B71" s="12" t="s">
        <v>144</v>
      </c>
      <c r="C71" s="12" t="s">
        <v>25</v>
      </c>
      <c r="D71">
        <v>12</v>
      </c>
      <c r="E71">
        <v>100</v>
      </c>
      <c r="F71">
        <v>60</v>
      </c>
      <c r="G71">
        <v>40</v>
      </c>
      <c r="H71" s="12" t="s">
        <v>145</v>
      </c>
    </row>
    <row r="72" spans="1:8" x14ac:dyDescent="0.45">
      <c r="A72" s="3">
        <v>46145</v>
      </c>
      <c r="B72" s="12" t="s">
        <v>146</v>
      </c>
      <c r="C72" s="12" t="s">
        <v>6</v>
      </c>
      <c r="D72">
        <v>11</v>
      </c>
      <c r="E72">
        <v>90</v>
      </c>
      <c r="F72">
        <v>60</v>
      </c>
      <c r="G72">
        <v>30</v>
      </c>
      <c r="H72" s="12" t="s">
        <v>147</v>
      </c>
    </row>
    <row r="73" spans="1:8" x14ac:dyDescent="0.45">
      <c r="A73" s="3">
        <v>46257</v>
      </c>
      <c r="B73" s="12" t="s">
        <v>148</v>
      </c>
      <c r="C73" s="12" t="s">
        <v>18</v>
      </c>
      <c r="D73">
        <v>10</v>
      </c>
      <c r="E73">
        <v>90</v>
      </c>
      <c r="F73">
        <v>65</v>
      </c>
      <c r="G73">
        <v>25</v>
      </c>
      <c r="H73" s="12" t="s">
        <v>149</v>
      </c>
    </row>
    <row r="74" spans="1:8" x14ac:dyDescent="0.45">
      <c r="A74" s="3">
        <v>46074</v>
      </c>
      <c r="B74" s="12" t="s">
        <v>150</v>
      </c>
      <c r="C74" s="12" t="s">
        <v>20</v>
      </c>
      <c r="D74">
        <v>13</v>
      </c>
      <c r="E74">
        <v>90</v>
      </c>
      <c r="F74">
        <v>50</v>
      </c>
      <c r="G74">
        <v>40</v>
      </c>
      <c r="H74" s="12" t="s">
        <v>123</v>
      </c>
    </row>
    <row r="75" spans="1:8" x14ac:dyDescent="0.45">
      <c r="A75" s="3">
        <v>46158</v>
      </c>
      <c r="B75" s="12" t="s">
        <v>151</v>
      </c>
      <c r="C75" s="12" t="s">
        <v>6</v>
      </c>
      <c r="D75">
        <v>14</v>
      </c>
      <c r="E75">
        <v>90</v>
      </c>
      <c r="F75">
        <v>60</v>
      </c>
      <c r="G75">
        <v>30</v>
      </c>
      <c r="H75" s="12" t="s">
        <v>152</v>
      </c>
    </row>
    <row r="76" spans="1:8" x14ac:dyDescent="0.45">
      <c r="A76" s="3">
        <v>46212</v>
      </c>
      <c r="B76" s="12" t="s">
        <v>153</v>
      </c>
      <c r="C76" s="12" t="s">
        <v>25</v>
      </c>
      <c r="D76">
        <v>9</v>
      </c>
      <c r="E76">
        <v>100</v>
      </c>
      <c r="F76">
        <v>60</v>
      </c>
      <c r="G76">
        <v>40</v>
      </c>
      <c r="H76" s="12" t="s">
        <v>154</v>
      </c>
    </row>
    <row r="77" spans="1:8" x14ac:dyDescent="0.45">
      <c r="A77" s="3">
        <v>46177</v>
      </c>
      <c r="B77" s="12" t="s">
        <v>155</v>
      </c>
      <c r="C77" s="12" t="s">
        <v>12</v>
      </c>
      <c r="D77">
        <v>14</v>
      </c>
      <c r="E77">
        <v>100</v>
      </c>
      <c r="F77">
        <v>100</v>
      </c>
      <c r="G77">
        <v>0</v>
      </c>
      <c r="H77" s="12" t="s">
        <v>7</v>
      </c>
    </row>
    <row r="78" spans="1:8" x14ac:dyDescent="0.45">
      <c r="A78" s="3">
        <v>46027</v>
      </c>
      <c r="B78" s="12" t="s">
        <v>156</v>
      </c>
      <c r="C78" s="12" t="s">
        <v>21</v>
      </c>
      <c r="D78">
        <v>14</v>
      </c>
      <c r="E78">
        <v>100</v>
      </c>
      <c r="F78">
        <v>100</v>
      </c>
      <c r="G78">
        <v>0</v>
      </c>
      <c r="H78" s="12" t="s">
        <v>7</v>
      </c>
    </row>
    <row r="79" spans="1:8" x14ac:dyDescent="0.45">
      <c r="A79" s="3">
        <v>46076</v>
      </c>
      <c r="B79" s="12" t="s">
        <v>157</v>
      </c>
      <c r="C79" s="12" t="s">
        <v>17</v>
      </c>
      <c r="D79">
        <v>10</v>
      </c>
      <c r="E79">
        <v>80</v>
      </c>
      <c r="F79">
        <v>50</v>
      </c>
      <c r="G79">
        <v>30</v>
      </c>
      <c r="H79" s="12" t="s">
        <v>158</v>
      </c>
    </row>
    <row r="80" spans="1:8" x14ac:dyDescent="0.45">
      <c r="A80" s="3">
        <v>46102</v>
      </c>
      <c r="B80" s="12" t="s">
        <v>159</v>
      </c>
      <c r="C80" s="12" t="s">
        <v>9</v>
      </c>
      <c r="D80">
        <v>7</v>
      </c>
      <c r="E80">
        <v>90</v>
      </c>
      <c r="F80">
        <v>60</v>
      </c>
      <c r="G80">
        <v>30</v>
      </c>
      <c r="H80" s="12" t="s">
        <v>160</v>
      </c>
    </row>
    <row r="81" spans="1:8" x14ac:dyDescent="0.45">
      <c r="A81" s="3">
        <v>46198</v>
      </c>
      <c r="B81" s="12" t="s">
        <v>161</v>
      </c>
      <c r="C81" s="12" t="s">
        <v>8</v>
      </c>
      <c r="D81">
        <v>9</v>
      </c>
      <c r="E81">
        <v>120</v>
      </c>
      <c r="F81">
        <v>80</v>
      </c>
      <c r="G81">
        <v>40</v>
      </c>
      <c r="H81" s="12" t="s">
        <v>158</v>
      </c>
    </row>
    <row r="82" spans="1:8" x14ac:dyDescent="0.45">
      <c r="A82" s="3">
        <v>46151</v>
      </c>
      <c r="B82" s="12" t="s">
        <v>162</v>
      </c>
      <c r="C82" s="12" t="s">
        <v>11</v>
      </c>
      <c r="D82">
        <v>13</v>
      </c>
      <c r="E82">
        <v>90</v>
      </c>
      <c r="F82">
        <v>70</v>
      </c>
      <c r="G82">
        <v>20</v>
      </c>
      <c r="H82" s="12" t="s">
        <v>163</v>
      </c>
    </row>
    <row r="83" spans="1:8" x14ac:dyDescent="0.45">
      <c r="A83" s="3">
        <v>46164</v>
      </c>
      <c r="B83" s="12" t="s">
        <v>164</v>
      </c>
      <c r="C83" s="12" t="s">
        <v>21</v>
      </c>
      <c r="D83">
        <v>12</v>
      </c>
      <c r="E83">
        <v>100</v>
      </c>
      <c r="F83">
        <v>70</v>
      </c>
      <c r="G83">
        <v>30</v>
      </c>
      <c r="H83" s="12" t="s">
        <v>165</v>
      </c>
    </row>
    <row r="84" spans="1:8" x14ac:dyDescent="0.45">
      <c r="A84" s="3">
        <v>46157</v>
      </c>
      <c r="B84" s="12" t="s">
        <v>166</v>
      </c>
      <c r="C84" s="12" t="s">
        <v>22</v>
      </c>
      <c r="D84">
        <v>8</v>
      </c>
      <c r="E84">
        <v>120</v>
      </c>
      <c r="F84">
        <v>90</v>
      </c>
      <c r="G84">
        <v>30</v>
      </c>
      <c r="H84" s="12" t="s">
        <v>167</v>
      </c>
    </row>
    <row r="85" spans="1:8" x14ac:dyDescent="0.45">
      <c r="A85" s="3">
        <v>46027</v>
      </c>
      <c r="B85" s="12" t="s">
        <v>168</v>
      </c>
      <c r="C85" s="12" t="s">
        <v>17</v>
      </c>
      <c r="D85">
        <v>12</v>
      </c>
      <c r="E85">
        <v>80</v>
      </c>
      <c r="F85">
        <v>50</v>
      </c>
      <c r="G85">
        <v>30</v>
      </c>
      <c r="H85" s="12" t="s">
        <v>169</v>
      </c>
    </row>
    <row r="86" spans="1:8" x14ac:dyDescent="0.45">
      <c r="A86" s="3">
        <v>46041</v>
      </c>
      <c r="B86" s="12" t="s">
        <v>170</v>
      </c>
      <c r="C86" s="12" t="s">
        <v>18</v>
      </c>
      <c r="D86">
        <v>14</v>
      </c>
      <c r="E86">
        <v>90</v>
      </c>
      <c r="F86">
        <v>65</v>
      </c>
      <c r="G86">
        <v>25</v>
      </c>
      <c r="H86" s="12" t="s">
        <v>171</v>
      </c>
    </row>
    <row r="87" spans="1:8" x14ac:dyDescent="0.45">
      <c r="A87" s="3">
        <v>46243</v>
      </c>
      <c r="B87" s="12" t="s">
        <v>172</v>
      </c>
      <c r="C87" s="12" t="s">
        <v>17</v>
      </c>
      <c r="D87">
        <v>8</v>
      </c>
      <c r="E87">
        <v>80</v>
      </c>
      <c r="F87">
        <v>50</v>
      </c>
      <c r="G87">
        <v>30</v>
      </c>
      <c r="H87" s="12" t="s">
        <v>173</v>
      </c>
    </row>
    <row r="88" spans="1:8" x14ac:dyDescent="0.45">
      <c r="A88" s="3">
        <v>46043</v>
      </c>
      <c r="B88" s="12" t="s">
        <v>174</v>
      </c>
      <c r="C88" s="12" t="s">
        <v>26</v>
      </c>
      <c r="D88">
        <v>11</v>
      </c>
      <c r="E88">
        <v>80</v>
      </c>
      <c r="F88">
        <v>40</v>
      </c>
      <c r="G88">
        <v>40</v>
      </c>
      <c r="H88" s="12" t="s">
        <v>66</v>
      </c>
    </row>
    <row r="89" spans="1:8" x14ac:dyDescent="0.45">
      <c r="A89" s="3">
        <v>46204</v>
      </c>
      <c r="B89" s="12" t="s">
        <v>175</v>
      </c>
      <c r="C89" s="12" t="s">
        <v>24</v>
      </c>
      <c r="D89">
        <v>7</v>
      </c>
      <c r="E89">
        <v>120</v>
      </c>
      <c r="F89">
        <v>120</v>
      </c>
      <c r="G89">
        <v>0</v>
      </c>
      <c r="H89" s="12" t="s">
        <v>7</v>
      </c>
    </row>
    <row r="90" spans="1:8" x14ac:dyDescent="0.45">
      <c r="A90" s="3">
        <v>46102</v>
      </c>
      <c r="B90" s="12" t="s">
        <v>176</v>
      </c>
      <c r="C90" s="12" t="s">
        <v>17</v>
      </c>
      <c r="D90">
        <v>12</v>
      </c>
      <c r="E90">
        <v>80</v>
      </c>
      <c r="F90">
        <v>50</v>
      </c>
      <c r="G90">
        <v>30</v>
      </c>
      <c r="H90" s="12" t="s">
        <v>177</v>
      </c>
    </row>
    <row r="91" spans="1:8" x14ac:dyDescent="0.45">
      <c r="A91" s="3">
        <v>46035</v>
      </c>
      <c r="B91" s="12" t="s">
        <v>178</v>
      </c>
      <c r="C91" s="12" t="s">
        <v>10</v>
      </c>
      <c r="D91">
        <v>12</v>
      </c>
      <c r="E91">
        <v>70</v>
      </c>
      <c r="F91">
        <v>30</v>
      </c>
      <c r="G91">
        <v>40</v>
      </c>
      <c r="H91" s="12" t="s">
        <v>179</v>
      </c>
    </row>
    <row r="92" spans="1:8" x14ac:dyDescent="0.45">
      <c r="A92" s="3">
        <v>46159</v>
      </c>
      <c r="B92" s="12" t="s">
        <v>180</v>
      </c>
      <c r="C92" s="12" t="s">
        <v>14</v>
      </c>
      <c r="D92">
        <v>9</v>
      </c>
      <c r="E92">
        <v>120</v>
      </c>
      <c r="F92">
        <v>100</v>
      </c>
      <c r="G92">
        <v>20</v>
      </c>
      <c r="H92" s="12" t="s">
        <v>181</v>
      </c>
    </row>
    <row r="93" spans="1:8" x14ac:dyDescent="0.45">
      <c r="A93" s="3">
        <v>46263</v>
      </c>
      <c r="B93" s="12" t="s">
        <v>182</v>
      </c>
      <c r="C93" s="12" t="s">
        <v>13</v>
      </c>
      <c r="D93">
        <v>6</v>
      </c>
      <c r="E93">
        <v>90</v>
      </c>
      <c r="F93">
        <v>60</v>
      </c>
      <c r="G93">
        <v>30</v>
      </c>
      <c r="H93" s="12" t="s">
        <v>183</v>
      </c>
    </row>
    <row r="94" spans="1:8" x14ac:dyDescent="0.45">
      <c r="A94" s="3">
        <v>46179</v>
      </c>
      <c r="B94" s="12" t="s">
        <v>184</v>
      </c>
      <c r="C94" s="12" t="s">
        <v>12</v>
      </c>
      <c r="D94">
        <v>11</v>
      </c>
      <c r="E94">
        <v>100</v>
      </c>
      <c r="F94">
        <v>70</v>
      </c>
      <c r="G94">
        <v>30</v>
      </c>
      <c r="H94" s="12" t="s">
        <v>185</v>
      </c>
    </row>
    <row r="95" spans="1:8" x14ac:dyDescent="0.45">
      <c r="A95" s="3">
        <v>46227</v>
      </c>
      <c r="B95" s="12" t="s">
        <v>186</v>
      </c>
      <c r="C95" s="12" t="s">
        <v>20</v>
      </c>
      <c r="D95">
        <v>9</v>
      </c>
      <c r="E95">
        <v>90</v>
      </c>
      <c r="F95">
        <v>50</v>
      </c>
      <c r="G95">
        <v>40</v>
      </c>
      <c r="H95" s="12" t="s">
        <v>112</v>
      </c>
    </row>
    <row r="96" spans="1:8" x14ac:dyDescent="0.45">
      <c r="A96" s="3">
        <v>46202</v>
      </c>
      <c r="B96" s="12" t="s">
        <v>187</v>
      </c>
      <c r="C96" s="12" t="s">
        <v>25</v>
      </c>
      <c r="D96">
        <v>10</v>
      </c>
      <c r="E96">
        <v>100</v>
      </c>
      <c r="F96">
        <v>100</v>
      </c>
      <c r="G96">
        <v>0</v>
      </c>
      <c r="H96" s="12" t="s">
        <v>7</v>
      </c>
    </row>
    <row r="97" spans="1:8" x14ac:dyDescent="0.45">
      <c r="A97" s="3">
        <v>46192</v>
      </c>
      <c r="B97" s="12" t="s">
        <v>188</v>
      </c>
      <c r="C97" s="12" t="s">
        <v>11</v>
      </c>
      <c r="D97">
        <v>12</v>
      </c>
      <c r="E97">
        <v>90</v>
      </c>
      <c r="F97">
        <v>70</v>
      </c>
      <c r="G97">
        <v>20</v>
      </c>
      <c r="H97" s="12" t="s">
        <v>189</v>
      </c>
    </row>
    <row r="98" spans="1:8" x14ac:dyDescent="0.45">
      <c r="A98" s="3">
        <v>46158</v>
      </c>
      <c r="B98" s="12" t="s">
        <v>190</v>
      </c>
      <c r="C98" s="12" t="s">
        <v>15</v>
      </c>
      <c r="D98">
        <v>8</v>
      </c>
      <c r="E98">
        <v>90</v>
      </c>
      <c r="F98">
        <v>60</v>
      </c>
      <c r="G98">
        <v>30</v>
      </c>
      <c r="H98" s="12" t="s">
        <v>181</v>
      </c>
    </row>
    <row r="99" spans="1:8" x14ac:dyDescent="0.45">
      <c r="A99" s="3">
        <v>46199</v>
      </c>
      <c r="B99" s="12" t="s">
        <v>191</v>
      </c>
      <c r="C99" s="12" t="s">
        <v>8</v>
      </c>
      <c r="D99">
        <v>12</v>
      </c>
      <c r="E99">
        <v>120</v>
      </c>
      <c r="F99">
        <v>120</v>
      </c>
      <c r="G99">
        <v>0</v>
      </c>
      <c r="H99" s="12" t="s">
        <v>7</v>
      </c>
    </row>
    <row r="100" spans="1:8" x14ac:dyDescent="0.45">
      <c r="A100" s="3">
        <v>46284</v>
      </c>
      <c r="B100" s="12" t="s">
        <v>192</v>
      </c>
      <c r="C100" s="12" t="s">
        <v>22</v>
      </c>
      <c r="D100">
        <v>12</v>
      </c>
      <c r="E100">
        <v>120</v>
      </c>
      <c r="F100">
        <v>90</v>
      </c>
      <c r="G100">
        <v>30</v>
      </c>
      <c r="H100" s="12" t="s">
        <v>193</v>
      </c>
    </row>
    <row r="101" spans="1:8" x14ac:dyDescent="0.45">
      <c r="A101" s="3">
        <v>46153</v>
      </c>
      <c r="B101" s="12" t="s">
        <v>194</v>
      </c>
      <c r="C101" s="12" t="s">
        <v>16</v>
      </c>
      <c r="D101">
        <v>9</v>
      </c>
      <c r="E101">
        <v>120</v>
      </c>
      <c r="F101">
        <v>80</v>
      </c>
      <c r="G101">
        <v>40</v>
      </c>
      <c r="H101" s="12" t="s">
        <v>88</v>
      </c>
    </row>
    <row r="102" spans="1:8" x14ac:dyDescent="0.45">
      <c r="A102" s="3">
        <v>46123</v>
      </c>
      <c r="B102" s="12" t="s">
        <v>195</v>
      </c>
      <c r="C102" s="12" t="s">
        <v>20</v>
      </c>
      <c r="D102">
        <v>14</v>
      </c>
      <c r="E102">
        <v>90</v>
      </c>
      <c r="F102">
        <v>50</v>
      </c>
      <c r="G102">
        <v>40</v>
      </c>
      <c r="H102" s="12" t="s">
        <v>117</v>
      </c>
    </row>
    <row r="103" spans="1:8" x14ac:dyDescent="0.45">
      <c r="A103" s="3">
        <v>46183</v>
      </c>
      <c r="B103" s="12" t="s">
        <v>196</v>
      </c>
      <c r="C103" s="12" t="s">
        <v>25</v>
      </c>
      <c r="D103">
        <v>11</v>
      </c>
      <c r="E103">
        <v>100</v>
      </c>
      <c r="F103">
        <v>100</v>
      </c>
      <c r="G103">
        <v>0</v>
      </c>
      <c r="H103" s="12" t="s">
        <v>7</v>
      </c>
    </row>
    <row r="104" spans="1:8" x14ac:dyDescent="0.45">
      <c r="A104" s="3">
        <v>46282</v>
      </c>
      <c r="B104" s="12" t="s">
        <v>197</v>
      </c>
      <c r="C104" s="12" t="s">
        <v>9</v>
      </c>
      <c r="D104">
        <v>10</v>
      </c>
      <c r="E104">
        <v>90</v>
      </c>
      <c r="F104">
        <v>60</v>
      </c>
      <c r="G104">
        <v>30</v>
      </c>
      <c r="H104" s="12" t="s">
        <v>198</v>
      </c>
    </row>
    <row r="105" spans="1:8" x14ac:dyDescent="0.45">
      <c r="A105" s="3">
        <v>46174</v>
      </c>
      <c r="B105" s="12" t="s">
        <v>199</v>
      </c>
      <c r="C105" s="12" t="s">
        <v>22</v>
      </c>
      <c r="D105">
        <v>12</v>
      </c>
      <c r="E105">
        <v>120</v>
      </c>
      <c r="F105">
        <v>120</v>
      </c>
      <c r="G105">
        <v>0</v>
      </c>
      <c r="H105" s="12" t="s">
        <v>7</v>
      </c>
    </row>
    <row r="106" spans="1:8" x14ac:dyDescent="0.45">
      <c r="A106" s="3">
        <v>46238</v>
      </c>
      <c r="B106" s="12" t="s">
        <v>200</v>
      </c>
      <c r="C106" s="12" t="s">
        <v>18</v>
      </c>
      <c r="D106">
        <v>9</v>
      </c>
      <c r="E106">
        <v>90</v>
      </c>
      <c r="F106">
        <v>90</v>
      </c>
      <c r="G106">
        <v>0</v>
      </c>
      <c r="H106" s="12" t="s">
        <v>7</v>
      </c>
    </row>
    <row r="107" spans="1:8" x14ac:dyDescent="0.45">
      <c r="A107" s="3">
        <v>46177</v>
      </c>
      <c r="B107" s="12" t="s">
        <v>201</v>
      </c>
      <c r="C107" s="12" t="s">
        <v>13</v>
      </c>
      <c r="D107">
        <v>8</v>
      </c>
      <c r="E107">
        <v>90</v>
      </c>
      <c r="F107">
        <v>60</v>
      </c>
      <c r="G107">
        <v>30</v>
      </c>
      <c r="H107" s="12" t="s">
        <v>126</v>
      </c>
    </row>
    <row r="108" spans="1:8" x14ac:dyDescent="0.45">
      <c r="A108" s="3">
        <v>46169</v>
      </c>
      <c r="B108" s="12" t="s">
        <v>202</v>
      </c>
      <c r="C108" s="12" t="s">
        <v>20</v>
      </c>
      <c r="D108">
        <v>10</v>
      </c>
      <c r="E108">
        <v>90</v>
      </c>
      <c r="F108">
        <v>50</v>
      </c>
      <c r="G108">
        <v>40</v>
      </c>
      <c r="H108" s="12" t="s">
        <v>117</v>
      </c>
    </row>
    <row r="109" spans="1:8" x14ac:dyDescent="0.45">
      <c r="A109" s="3">
        <v>46187</v>
      </c>
      <c r="B109" s="12" t="s">
        <v>203</v>
      </c>
      <c r="C109" s="12" t="s">
        <v>16</v>
      </c>
      <c r="D109">
        <v>15</v>
      </c>
      <c r="E109">
        <v>120</v>
      </c>
      <c r="F109">
        <v>80</v>
      </c>
      <c r="G109">
        <v>40</v>
      </c>
      <c r="H109" s="12" t="s">
        <v>167</v>
      </c>
    </row>
    <row r="110" spans="1:8" x14ac:dyDescent="0.45">
      <c r="A110" s="3">
        <v>46284</v>
      </c>
      <c r="B110" s="12" t="s">
        <v>204</v>
      </c>
      <c r="C110" s="12" t="s">
        <v>12</v>
      </c>
      <c r="D110">
        <v>9</v>
      </c>
      <c r="E110">
        <v>100</v>
      </c>
      <c r="F110">
        <v>100</v>
      </c>
      <c r="G110">
        <v>0</v>
      </c>
      <c r="H110" s="12" t="s">
        <v>7</v>
      </c>
    </row>
    <row r="111" spans="1:8" x14ac:dyDescent="0.45">
      <c r="A111" s="3">
        <v>46168</v>
      </c>
      <c r="B111" s="12" t="s">
        <v>205</v>
      </c>
      <c r="C111" s="12" t="s">
        <v>10</v>
      </c>
      <c r="D111">
        <v>7</v>
      </c>
      <c r="E111">
        <v>70</v>
      </c>
      <c r="F111">
        <v>70</v>
      </c>
      <c r="G111">
        <v>0</v>
      </c>
      <c r="H111" s="12" t="s">
        <v>7</v>
      </c>
    </row>
    <row r="112" spans="1:8" x14ac:dyDescent="0.45">
      <c r="A112" s="3">
        <v>46194</v>
      </c>
      <c r="B112" s="12" t="s">
        <v>206</v>
      </c>
      <c r="C112" s="12" t="s">
        <v>21</v>
      </c>
      <c r="D112">
        <v>15</v>
      </c>
      <c r="E112">
        <v>100</v>
      </c>
      <c r="F112">
        <v>70</v>
      </c>
      <c r="G112">
        <v>30</v>
      </c>
      <c r="H112" s="12" t="s">
        <v>128</v>
      </c>
    </row>
    <row r="113" spans="1:8" x14ac:dyDescent="0.45">
      <c r="A113" s="3">
        <v>46124</v>
      </c>
      <c r="B113" s="12" t="s">
        <v>207</v>
      </c>
      <c r="C113" s="12" t="s">
        <v>26</v>
      </c>
      <c r="D113">
        <v>9</v>
      </c>
      <c r="E113">
        <v>80</v>
      </c>
      <c r="F113">
        <v>40</v>
      </c>
      <c r="G113">
        <v>40</v>
      </c>
      <c r="H113" s="12" t="s">
        <v>208</v>
      </c>
    </row>
    <row r="114" spans="1:8" x14ac:dyDescent="0.45">
      <c r="A114" s="3">
        <v>46266</v>
      </c>
      <c r="B114" s="12" t="s">
        <v>209</v>
      </c>
      <c r="C114" s="12" t="s">
        <v>27</v>
      </c>
      <c r="D114">
        <v>9</v>
      </c>
      <c r="E114">
        <v>90</v>
      </c>
      <c r="F114">
        <v>90</v>
      </c>
      <c r="G114">
        <v>0</v>
      </c>
      <c r="H114" s="12" t="s">
        <v>7</v>
      </c>
    </row>
    <row r="115" spans="1:8" x14ac:dyDescent="0.45">
      <c r="A115" s="3">
        <v>46235</v>
      </c>
      <c r="B115" s="12" t="s">
        <v>210</v>
      </c>
      <c r="C115" s="12" t="s">
        <v>25</v>
      </c>
      <c r="D115">
        <v>13</v>
      </c>
      <c r="E115">
        <v>100</v>
      </c>
      <c r="F115">
        <v>100</v>
      </c>
      <c r="G115">
        <v>0</v>
      </c>
      <c r="H115" s="12" t="s">
        <v>7</v>
      </c>
    </row>
    <row r="116" spans="1:8" x14ac:dyDescent="0.45">
      <c r="A116" s="3">
        <v>46219</v>
      </c>
      <c r="B116" s="12" t="s">
        <v>211</v>
      </c>
      <c r="C116" s="12" t="s">
        <v>16</v>
      </c>
      <c r="D116">
        <v>9</v>
      </c>
      <c r="E116">
        <v>120</v>
      </c>
      <c r="F116">
        <v>120</v>
      </c>
      <c r="G116">
        <v>0</v>
      </c>
      <c r="H116" s="12" t="s">
        <v>7</v>
      </c>
    </row>
    <row r="117" spans="1:8" x14ac:dyDescent="0.45">
      <c r="A117" s="3">
        <v>46098</v>
      </c>
      <c r="B117" s="12" t="s">
        <v>212</v>
      </c>
      <c r="C117" s="12" t="s">
        <v>13</v>
      </c>
      <c r="D117">
        <v>9</v>
      </c>
      <c r="E117">
        <v>90</v>
      </c>
      <c r="F117">
        <v>90</v>
      </c>
      <c r="G117">
        <v>0</v>
      </c>
      <c r="H117" s="12" t="s">
        <v>7</v>
      </c>
    </row>
    <row r="118" spans="1:8" x14ac:dyDescent="0.45">
      <c r="A118" s="3">
        <v>46240</v>
      </c>
      <c r="B118" s="12" t="s">
        <v>213</v>
      </c>
      <c r="C118" s="12" t="s">
        <v>20</v>
      </c>
      <c r="D118">
        <v>7</v>
      </c>
      <c r="E118">
        <v>90</v>
      </c>
      <c r="F118">
        <v>50</v>
      </c>
      <c r="G118">
        <v>40</v>
      </c>
      <c r="H118" s="12" t="s">
        <v>214</v>
      </c>
    </row>
    <row r="119" spans="1:8" x14ac:dyDescent="0.45">
      <c r="A119" s="3">
        <v>46048</v>
      </c>
      <c r="B119" s="12" t="s">
        <v>215</v>
      </c>
      <c r="C119" s="12" t="s">
        <v>11</v>
      </c>
      <c r="D119">
        <v>13</v>
      </c>
      <c r="E119">
        <v>90</v>
      </c>
      <c r="F119">
        <v>90</v>
      </c>
      <c r="G119">
        <v>0</v>
      </c>
      <c r="H119" s="12" t="s">
        <v>7</v>
      </c>
    </row>
    <row r="120" spans="1:8" x14ac:dyDescent="0.45">
      <c r="A120" s="3">
        <v>46256</v>
      </c>
      <c r="B120" s="12" t="s">
        <v>216</v>
      </c>
      <c r="C120" s="12" t="s">
        <v>24</v>
      </c>
      <c r="D120">
        <v>7</v>
      </c>
      <c r="E120">
        <v>120</v>
      </c>
      <c r="F120">
        <v>95</v>
      </c>
      <c r="G120">
        <v>25</v>
      </c>
      <c r="H120" s="12" t="s">
        <v>217</v>
      </c>
    </row>
    <row r="121" spans="1:8" x14ac:dyDescent="0.45">
      <c r="A121" s="3">
        <v>46185</v>
      </c>
      <c r="B121" s="12" t="s">
        <v>218</v>
      </c>
      <c r="C121" s="12" t="s">
        <v>11</v>
      </c>
      <c r="D121">
        <v>14</v>
      </c>
      <c r="E121">
        <v>90</v>
      </c>
      <c r="F121">
        <v>90</v>
      </c>
      <c r="G121">
        <v>0</v>
      </c>
      <c r="H121" s="12" t="s">
        <v>7</v>
      </c>
    </row>
    <row r="122" spans="1:8" x14ac:dyDescent="0.45">
      <c r="A122" s="3">
        <v>46281</v>
      </c>
      <c r="B122" s="12" t="s">
        <v>219</v>
      </c>
      <c r="C122" s="12" t="s">
        <v>12</v>
      </c>
      <c r="D122">
        <v>15</v>
      </c>
      <c r="E122">
        <v>100</v>
      </c>
      <c r="F122">
        <v>70</v>
      </c>
      <c r="G122">
        <v>30</v>
      </c>
      <c r="H122" s="12" t="s">
        <v>126</v>
      </c>
    </row>
    <row r="123" spans="1:8" x14ac:dyDescent="0.45">
      <c r="A123" s="3">
        <v>46266</v>
      </c>
      <c r="B123" s="12" t="s">
        <v>220</v>
      </c>
      <c r="C123" s="12" t="s">
        <v>12</v>
      </c>
      <c r="D123">
        <v>8</v>
      </c>
      <c r="E123">
        <v>100</v>
      </c>
      <c r="F123">
        <v>70</v>
      </c>
      <c r="G123">
        <v>30</v>
      </c>
      <c r="H123" s="12" t="s">
        <v>145</v>
      </c>
    </row>
    <row r="124" spans="1:8" x14ac:dyDescent="0.45">
      <c r="A124" s="3">
        <v>46289</v>
      </c>
      <c r="B124" s="12" t="s">
        <v>221</v>
      </c>
      <c r="C124" s="12" t="s">
        <v>24</v>
      </c>
      <c r="D124">
        <v>10</v>
      </c>
      <c r="E124">
        <v>120</v>
      </c>
      <c r="F124">
        <v>120</v>
      </c>
      <c r="G124">
        <v>0</v>
      </c>
      <c r="H124" s="12" t="s">
        <v>7</v>
      </c>
    </row>
    <row r="125" spans="1:8" x14ac:dyDescent="0.45">
      <c r="A125" s="3">
        <v>46163</v>
      </c>
      <c r="B125" s="12" t="s">
        <v>222</v>
      </c>
      <c r="C125" s="12" t="s">
        <v>21</v>
      </c>
      <c r="D125">
        <v>9</v>
      </c>
      <c r="E125">
        <v>100</v>
      </c>
      <c r="F125">
        <v>70</v>
      </c>
      <c r="G125">
        <v>30</v>
      </c>
      <c r="H125" s="12" t="s">
        <v>169</v>
      </c>
    </row>
    <row r="126" spans="1:8" x14ac:dyDescent="0.45">
      <c r="A126" s="3">
        <v>46162</v>
      </c>
      <c r="B126" s="12" t="s">
        <v>223</v>
      </c>
      <c r="C126" s="12" t="s">
        <v>26</v>
      </c>
      <c r="D126">
        <v>9</v>
      </c>
      <c r="E126">
        <v>80</v>
      </c>
      <c r="F126">
        <v>40</v>
      </c>
      <c r="G126">
        <v>40</v>
      </c>
      <c r="H126" s="12" t="s">
        <v>224</v>
      </c>
    </row>
    <row r="127" spans="1:8" x14ac:dyDescent="0.45">
      <c r="A127" s="3">
        <v>46093</v>
      </c>
      <c r="B127" s="12" t="s">
        <v>225</v>
      </c>
      <c r="C127" s="12" t="s">
        <v>17</v>
      </c>
      <c r="D127">
        <v>7</v>
      </c>
      <c r="E127">
        <v>80</v>
      </c>
      <c r="F127">
        <v>50</v>
      </c>
      <c r="G127">
        <v>30</v>
      </c>
      <c r="H127" s="12" t="s">
        <v>226</v>
      </c>
    </row>
    <row r="128" spans="1:8" x14ac:dyDescent="0.45">
      <c r="A128" s="3">
        <v>46132</v>
      </c>
      <c r="B128" s="12" t="s">
        <v>227</v>
      </c>
      <c r="C128" s="12" t="s">
        <v>13</v>
      </c>
      <c r="D128">
        <v>8</v>
      </c>
      <c r="E128">
        <v>90</v>
      </c>
      <c r="F128">
        <v>60</v>
      </c>
      <c r="G128">
        <v>30</v>
      </c>
      <c r="H128" s="12" t="s">
        <v>228</v>
      </c>
    </row>
    <row r="129" spans="1:8" x14ac:dyDescent="0.45">
      <c r="A129" s="3">
        <v>46261</v>
      </c>
      <c r="B129" s="12" t="s">
        <v>229</v>
      </c>
      <c r="C129" s="12" t="s">
        <v>14</v>
      </c>
      <c r="D129">
        <v>11</v>
      </c>
      <c r="E129">
        <v>120</v>
      </c>
      <c r="F129">
        <v>100</v>
      </c>
      <c r="G129">
        <v>20</v>
      </c>
      <c r="H129" s="12" t="s">
        <v>230</v>
      </c>
    </row>
    <row r="130" spans="1:8" x14ac:dyDescent="0.45">
      <c r="A130" s="3">
        <v>46222</v>
      </c>
      <c r="B130" s="12" t="s">
        <v>231</v>
      </c>
      <c r="C130" s="12" t="s">
        <v>6</v>
      </c>
      <c r="D130">
        <v>12</v>
      </c>
      <c r="E130">
        <v>90</v>
      </c>
      <c r="F130">
        <v>90</v>
      </c>
      <c r="G130">
        <v>0</v>
      </c>
      <c r="H130" s="12" t="s">
        <v>7</v>
      </c>
    </row>
    <row r="131" spans="1:8" x14ac:dyDescent="0.45">
      <c r="A131" s="3">
        <v>46217</v>
      </c>
      <c r="B131" s="12" t="s">
        <v>232</v>
      </c>
      <c r="C131" s="12" t="s">
        <v>16</v>
      </c>
      <c r="D131">
        <v>6</v>
      </c>
      <c r="E131">
        <v>120</v>
      </c>
      <c r="F131">
        <v>120</v>
      </c>
      <c r="G131">
        <v>0</v>
      </c>
      <c r="H131" s="12" t="s">
        <v>7</v>
      </c>
    </row>
    <row r="132" spans="1:8" x14ac:dyDescent="0.45">
      <c r="A132" s="3">
        <v>46175</v>
      </c>
      <c r="B132" s="12" t="s">
        <v>233</v>
      </c>
      <c r="C132" s="12" t="s">
        <v>20</v>
      </c>
      <c r="D132">
        <v>11</v>
      </c>
      <c r="E132">
        <v>90</v>
      </c>
      <c r="F132">
        <v>90</v>
      </c>
      <c r="G132">
        <v>0</v>
      </c>
      <c r="H132" s="12" t="s">
        <v>7</v>
      </c>
    </row>
    <row r="133" spans="1:8" x14ac:dyDescent="0.45">
      <c r="A133" s="3">
        <v>46135</v>
      </c>
      <c r="B133" s="12" t="s">
        <v>234</v>
      </c>
      <c r="C133" s="12" t="s">
        <v>13</v>
      </c>
      <c r="D133">
        <v>12</v>
      </c>
      <c r="E133">
        <v>90</v>
      </c>
      <c r="F133">
        <v>90</v>
      </c>
      <c r="G133">
        <v>0</v>
      </c>
      <c r="H133" s="12" t="s">
        <v>7</v>
      </c>
    </row>
    <row r="134" spans="1:8" x14ac:dyDescent="0.45">
      <c r="A134" s="3">
        <v>46246</v>
      </c>
      <c r="B134" s="12" t="s">
        <v>235</v>
      </c>
      <c r="C134" s="12" t="s">
        <v>24</v>
      </c>
      <c r="D134">
        <v>10</v>
      </c>
      <c r="E134">
        <v>120</v>
      </c>
      <c r="F134">
        <v>120</v>
      </c>
      <c r="G134">
        <v>0</v>
      </c>
      <c r="H134" s="12" t="s">
        <v>7</v>
      </c>
    </row>
    <row r="135" spans="1:8" x14ac:dyDescent="0.45">
      <c r="A135" s="3">
        <v>46195</v>
      </c>
      <c r="B135" s="12" t="s">
        <v>236</v>
      </c>
      <c r="C135" s="12" t="s">
        <v>20</v>
      </c>
      <c r="D135">
        <v>12</v>
      </c>
      <c r="E135">
        <v>90</v>
      </c>
      <c r="F135">
        <v>90</v>
      </c>
      <c r="G135">
        <v>0</v>
      </c>
      <c r="H135" s="12" t="s">
        <v>7</v>
      </c>
    </row>
    <row r="136" spans="1:8" x14ac:dyDescent="0.45">
      <c r="A136" s="3">
        <v>46262</v>
      </c>
      <c r="B136" s="12" t="s">
        <v>237</v>
      </c>
      <c r="C136" s="12" t="s">
        <v>13</v>
      </c>
      <c r="D136">
        <v>8</v>
      </c>
      <c r="E136">
        <v>90</v>
      </c>
      <c r="F136">
        <v>60</v>
      </c>
      <c r="G136">
        <v>30</v>
      </c>
      <c r="H136" s="12" t="s">
        <v>99</v>
      </c>
    </row>
    <row r="137" spans="1:8" x14ac:dyDescent="0.45">
      <c r="A137" s="3">
        <v>46036</v>
      </c>
      <c r="B137" s="12" t="s">
        <v>238</v>
      </c>
      <c r="C137" s="12" t="s">
        <v>20</v>
      </c>
      <c r="D137">
        <v>12</v>
      </c>
      <c r="E137">
        <v>90</v>
      </c>
      <c r="F137">
        <v>50</v>
      </c>
      <c r="G137">
        <v>40</v>
      </c>
      <c r="H137" s="12" t="s">
        <v>239</v>
      </c>
    </row>
    <row r="138" spans="1:8" x14ac:dyDescent="0.45">
      <c r="A138" s="3">
        <v>46116</v>
      </c>
      <c r="B138" s="12" t="s">
        <v>240</v>
      </c>
      <c r="C138" s="12" t="s">
        <v>18</v>
      </c>
      <c r="D138">
        <v>13</v>
      </c>
      <c r="E138">
        <v>90</v>
      </c>
      <c r="F138">
        <v>65</v>
      </c>
      <c r="G138">
        <v>25</v>
      </c>
      <c r="H138" s="12" t="s">
        <v>145</v>
      </c>
    </row>
    <row r="139" spans="1:8" x14ac:dyDescent="0.45">
      <c r="A139" s="3">
        <v>46131</v>
      </c>
      <c r="B139" s="12" t="s">
        <v>241</v>
      </c>
      <c r="C139" s="12" t="s">
        <v>13</v>
      </c>
      <c r="D139">
        <v>11</v>
      </c>
      <c r="E139">
        <v>90</v>
      </c>
      <c r="F139">
        <v>60</v>
      </c>
      <c r="G139">
        <v>30</v>
      </c>
      <c r="H139" s="12" t="s">
        <v>242</v>
      </c>
    </row>
    <row r="140" spans="1:8" x14ac:dyDescent="0.45">
      <c r="A140" s="3">
        <v>46165</v>
      </c>
      <c r="B140" s="12" t="s">
        <v>243</v>
      </c>
      <c r="C140" s="12" t="s">
        <v>22</v>
      </c>
      <c r="D140">
        <v>12</v>
      </c>
      <c r="E140">
        <v>120</v>
      </c>
      <c r="F140">
        <v>120</v>
      </c>
      <c r="G140">
        <v>0</v>
      </c>
      <c r="H140" s="12" t="s">
        <v>7</v>
      </c>
    </row>
    <row r="141" spans="1:8" x14ac:dyDescent="0.45">
      <c r="A141" s="3">
        <v>46064</v>
      </c>
      <c r="B141" s="12" t="s">
        <v>244</v>
      </c>
      <c r="C141" s="12" t="s">
        <v>14</v>
      </c>
      <c r="D141">
        <v>10</v>
      </c>
      <c r="E141">
        <v>120</v>
      </c>
      <c r="F141">
        <v>120</v>
      </c>
      <c r="G141">
        <v>0</v>
      </c>
      <c r="H141" s="12" t="s">
        <v>7</v>
      </c>
    </row>
    <row r="142" spans="1:8" x14ac:dyDescent="0.45">
      <c r="A142" s="3">
        <v>46049</v>
      </c>
      <c r="B142" s="12" t="s">
        <v>245</v>
      </c>
      <c r="C142" s="12" t="s">
        <v>20</v>
      </c>
      <c r="D142">
        <v>14</v>
      </c>
      <c r="E142">
        <v>90</v>
      </c>
      <c r="F142">
        <v>50</v>
      </c>
      <c r="G142">
        <v>40</v>
      </c>
      <c r="H142" s="12" t="s">
        <v>185</v>
      </c>
    </row>
    <row r="143" spans="1:8" x14ac:dyDescent="0.45">
      <c r="A143" s="3">
        <v>46043</v>
      </c>
      <c r="B143" s="12" t="s">
        <v>246</v>
      </c>
      <c r="C143" s="12" t="s">
        <v>21</v>
      </c>
      <c r="D143">
        <v>7</v>
      </c>
      <c r="E143">
        <v>100</v>
      </c>
      <c r="F143">
        <v>100</v>
      </c>
      <c r="G143">
        <v>0</v>
      </c>
      <c r="H143" s="12" t="s">
        <v>7</v>
      </c>
    </row>
    <row r="144" spans="1:8" x14ac:dyDescent="0.45">
      <c r="A144" s="3">
        <v>46125</v>
      </c>
      <c r="B144" s="12" t="s">
        <v>247</v>
      </c>
      <c r="C144" s="12" t="s">
        <v>20</v>
      </c>
      <c r="D144">
        <v>9</v>
      </c>
      <c r="E144">
        <v>90</v>
      </c>
      <c r="F144">
        <v>50</v>
      </c>
      <c r="G144">
        <v>40</v>
      </c>
      <c r="H144" s="12" t="s">
        <v>54</v>
      </c>
    </row>
    <row r="145" spans="1:8" x14ac:dyDescent="0.45">
      <c r="A145" s="3">
        <v>46265</v>
      </c>
      <c r="B145" s="12" t="s">
        <v>248</v>
      </c>
      <c r="C145" s="12" t="s">
        <v>24</v>
      </c>
      <c r="D145">
        <v>8</v>
      </c>
      <c r="E145">
        <v>120</v>
      </c>
      <c r="F145">
        <v>120</v>
      </c>
      <c r="G145">
        <v>0</v>
      </c>
      <c r="H145" s="12" t="s">
        <v>7</v>
      </c>
    </row>
    <row r="146" spans="1:8" x14ac:dyDescent="0.45">
      <c r="A146" s="3">
        <v>46134</v>
      </c>
      <c r="B146" s="12" t="s">
        <v>249</v>
      </c>
      <c r="C146" s="12" t="s">
        <v>9</v>
      </c>
      <c r="D146">
        <v>15</v>
      </c>
      <c r="E146">
        <v>90</v>
      </c>
      <c r="F146">
        <v>60</v>
      </c>
      <c r="G146">
        <v>30</v>
      </c>
      <c r="H146" s="12" t="s">
        <v>250</v>
      </c>
    </row>
    <row r="147" spans="1:8" x14ac:dyDescent="0.45">
      <c r="A147" s="3">
        <v>46081</v>
      </c>
      <c r="B147" s="12" t="s">
        <v>251</v>
      </c>
      <c r="C147" s="12" t="s">
        <v>23</v>
      </c>
      <c r="D147">
        <v>8</v>
      </c>
      <c r="E147">
        <v>90</v>
      </c>
      <c r="F147">
        <v>90</v>
      </c>
      <c r="G147">
        <v>0</v>
      </c>
      <c r="H147" s="12" t="s">
        <v>7</v>
      </c>
    </row>
    <row r="148" spans="1:8" x14ac:dyDescent="0.45">
      <c r="A148" s="3">
        <v>46078</v>
      </c>
      <c r="B148" s="12" t="s">
        <v>252</v>
      </c>
      <c r="C148" s="12" t="s">
        <v>10</v>
      </c>
      <c r="D148">
        <v>10</v>
      </c>
      <c r="E148">
        <v>70</v>
      </c>
      <c r="F148">
        <v>70</v>
      </c>
      <c r="G148">
        <v>0</v>
      </c>
      <c r="H148" s="12" t="s">
        <v>7</v>
      </c>
    </row>
    <row r="149" spans="1:8" x14ac:dyDescent="0.45">
      <c r="A149" s="3">
        <v>46215</v>
      </c>
      <c r="B149" s="12" t="s">
        <v>253</v>
      </c>
      <c r="C149" s="12" t="s">
        <v>20</v>
      </c>
      <c r="D149">
        <v>10</v>
      </c>
      <c r="E149">
        <v>90</v>
      </c>
      <c r="F149">
        <v>50</v>
      </c>
      <c r="G149">
        <v>40</v>
      </c>
      <c r="H149" s="12" t="s">
        <v>254</v>
      </c>
    </row>
    <row r="150" spans="1:8" x14ac:dyDescent="0.45">
      <c r="A150" s="3">
        <v>46147</v>
      </c>
      <c r="B150" s="12" t="s">
        <v>255</v>
      </c>
      <c r="C150" s="12" t="s">
        <v>25</v>
      </c>
      <c r="D150">
        <v>15</v>
      </c>
      <c r="E150">
        <v>100</v>
      </c>
      <c r="F150">
        <v>60</v>
      </c>
      <c r="G150">
        <v>40</v>
      </c>
      <c r="H150" s="12" t="s">
        <v>256</v>
      </c>
    </row>
    <row r="151" spans="1:8" x14ac:dyDescent="0.45">
      <c r="A151" s="3">
        <v>46044</v>
      </c>
      <c r="B151" s="12" t="s">
        <v>257</v>
      </c>
      <c r="C151" s="12" t="s">
        <v>8</v>
      </c>
      <c r="D151">
        <v>7</v>
      </c>
      <c r="E151">
        <v>120</v>
      </c>
      <c r="F151">
        <v>80</v>
      </c>
      <c r="G151">
        <v>40</v>
      </c>
      <c r="H151" s="12" t="s">
        <v>99</v>
      </c>
    </row>
    <row r="152" spans="1:8" x14ac:dyDescent="0.45">
      <c r="A152" s="3">
        <v>46058</v>
      </c>
      <c r="B152" s="12" t="s">
        <v>258</v>
      </c>
      <c r="C152" s="12" t="s">
        <v>14</v>
      </c>
      <c r="D152">
        <v>11</v>
      </c>
      <c r="E152">
        <v>120</v>
      </c>
      <c r="F152">
        <v>120</v>
      </c>
      <c r="G152">
        <v>0</v>
      </c>
      <c r="H152" s="12" t="s">
        <v>7</v>
      </c>
    </row>
    <row r="153" spans="1:8" x14ac:dyDescent="0.45">
      <c r="A153" s="3">
        <v>46029</v>
      </c>
      <c r="B153" s="12" t="s">
        <v>259</v>
      </c>
      <c r="C153" s="12" t="s">
        <v>21</v>
      </c>
      <c r="D153">
        <v>11</v>
      </c>
      <c r="E153">
        <v>100</v>
      </c>
      <c r="F153">
        <v>70</v>
      </c>
      <c r="G153">
        <v>30</v>
      </c>
      <c r="H153" s="12" t="s">
        <v>260</v>
      </c>
    </row>
    <row r="154" spans="1:8" x14ac:dyDescent="0.45">
      <c r="A154" s="3">
        <v>46208</v>
      </c>
      <c r="B154" s="12" t="s">
        <v>261</v>
      </c>
      <c r="C154" s="12" t="s">
        <v>9</v>
      </c>
      <c r="D154">
        <v>12</v>
      </c>
      <c r="E154">
        <v>90</v>
      </c>
      <c r="F154">
        <v>90</v>
      </c>
      <c r="G154">
        <v>0</v>
      </c>
      <c r="H154" s="12" t="s">
        <v>7</v>
      </c>
    </row>
    <row r="155" spans="1:8" x14ac:dyDescent="0.45">
      <c r="A155" s="3">
        <v>46245</v>
      </c>
      <c r="B155" s="12" t="s">
        <v>262</v>
      </c>
      <c r="C155" s="12" t="s">
        <v>12</v>
      </c>
      <c r="D155">
        <v>8</v>
      </c>
      <c r="E155">
        <v>100</v>
      </c>
      <c r="F155">
        <v>70</v>
      </c>
      <c r="G155">
        <v>30</v>
      </c>
      <c r="H155" s="12" t="s">
        <v>263</v>
      </c>
    </row>
    <row r="156" spans="1:8" x14ac:dyDescent="0.45">
      <c r="A156" s="3">
        <v>46270</v>
      </c>
      <c r="B156" s="12" t="s">
        <v>264</v>
      </c>
      <c r="C156" s="12" t="s">
        <v>21</v>
      </c>
      <c r="D156">
        <v>10</v>
      </c>
      <c r="E156">
        <v>100</v>
      </c>
      <c r="F156">
        <v>70</v>
      </c>
      <c r="G156">
        <v>30</v>
      </c>
      <c r="H156" s="12" t="s">
        <v>88</v>
      </c>
    </row>
    <row r="157" spans="1:8" x14ac:dyDescent="0.45">
      <c r="A157" s="3">
        <v>46188</v>
      </c>
      <c r="B157" s="12" t="s">
        <v>265</v>
      </c>
      <c r="C157" s="12" t="s">
        <v>16</v>
      </c>
      <c r="D157">
        <v>10</v>
      </c>
      <c r="E157">
        <v>120</v>
      </c>
      <c r="F157">
        <v>80</v>
      </c>
      <c r="G157">
        <v>40</v>
      </c>
      <c r="H157" s="12" t="s">
        <v>266</v>
      </c>
    </row>
    <row r="158" spans="1:8" x14ac:dyDescent="0.45">
      <c r="A158" s="3">
        <v>46147</v>
      </c>
      <c r="B158" s="12" t="s">
        <v>267</v>
      </c>
      <c r="C158" s="12" t="s">
        <v>15</v>
      </c>
      <c r="D158">
        <v>13</v>
      </c>
      <c r="E158">
        <v>90</v>
      </c>
      <c r="F158">
        <v>90</v>
      </c>
      <c r="G158">
        <v>0</v>
      </c>
      <c r="H158" s="12" t="s">
        <v>7</v>
      </c>
    </row>
    <row r="159" spans="1:8" x14ac:dyDescent="0.45">
      <c r="A159" s="3">
        <v>46217</v>
      </c>
      <c r="B159" s="12" t="s">
        <v>268</v>
      </c>
      <c r="C159" s="12" t="s">
        <v>12</v>
      </c>
      <c r="D159">
        <v>15</v>
      </c>
      <c r="E159">
        <v>100</v>
      </c>
      <c r="F159">
        <v>70</v>
      </c>
      <c r="G159">
        <v>30</v>
      </c>
      <c r="H159" s="12" t="s">
        <v>47</v>
      </c>
    </row>
    <row r="160" spans="1:8" x14ac:dyDescent="0.45">
      <c r="A160" s="3">
        <v>46116</v>
      </c>
      <c r="B160" s="12" t="s">
        <v>269</v>
      </c>
      <c r="C160" s="12" t="s">
        <v>19</v>
      </c>
      <c r="D160">
        <v>11</v>
      </c>
      <c r="E160">
        <v>100</v>
      </c>
      <c r="F160">
        <v>100</v>
      </c>
      <c r="G160">
        <v>0</v>
      </c>
      <c r="H160" s="12" t="s">
        <v>7</v>
      </c>
    </row>
    <row r="161" spans="1:8" x14ac:dyDescent="0.45">
      <c r="A161" s="3">
        <v>46155</v>
      </c>
      <c r="B161" s="12" t="s">
        <v>270</v>
      </c>
      <c r="C161" s="12" t="s">
        <v>6</v>
      </c>
      <c r="D161">
        <v>11</v>
      </c>
      <c r="E161">
        <v>90</v>
      </c>
      <c r="F161">
        <v>60</v>
      </c>
      <c r="G161">
        <v>30</v>
      </c>
      <c r="H161" s="12" t="s">
        <v>112</v>
      </c>
    </row>
    <row r="162" spans="1:8" x14ac:dyDescent="0.45">
      <c r="A162" s="3">
        <v>46028</v>
      </c>
      <c r="B162" s="12" t="s">
        <v>271</v>
      </c>
      <c r="C162" s="12" t="s">
        <v>8</v>
      </c>
      <c r="D162">
        <v>10</v>
      </c>
      <c r="E162">
        <v>120</v>
      </c>
      <c r="F162">
        <v>120</v>
      </c>
      <c r="G162">
        <v>0</v>
      </c>
      <c r="H162" s="12" t="s">
        <v>7</v>
      </c>
    </row>
    <row r="163" spans="1:8" x14ac:dyDescent="0.45">
      <c r="A163" s="3">
        <v>46146</v>
      </c>
      <c r="B163" s="12" t="s">
        <v>272</v>
      </c>
      <c r="C163" s="12" t="s">
        <v>6</v>
      </c>
      <c r="D163">
        <v>7</v>
      </c>
      <c r="E163">
        <v>90</v>
      </c>
      <c r="F163">
        <v>90</v>
      </c>
      <c r="G163">
        <v>0</v>
      </c>
      <c r="H163" s="12" t="s">
        <v>7</v>
      </c>
    </row>
    <row r="164" spans="1:8" x14ac:dyDescent="0.45">
      <c r="A164" s="3">
        <v>46146</v>
      </c>
      <c r="B164" s="12" t="s">
        <v>273</v>
      </c>
      <c r="C164" s="12" t="s">
        <v>14</v>
      </c>
      <c r="D164">
        <v>13</v>
      </c>
      <c r="E164">
        <v>120</v>
      </c>
      <c r="F164">
        <v>120</v>
      </c>
      <c r="G164">
        <v>0</v>
      </c>
      <c r="H164" s="12" t="s">
        <v>7</v>
      </c>
    </row>
    <row r="165" spans="1:8" x14ac:dyDescent="0.45">
      <c r="A165" s="3">
        <v>46252</v>
      </c>
      <c r="B165" s="12" t="s">
        <v>274</v>
      </c>
      <c r="C165" s="12" t="s">
        <v>19</v>
      </c>
      <c r="D165">
        <v>13</v>
      </c>
      <c r="E165">
        <v>100</v>
      </c>
      <c r="F165">
        <v>80</v>
      </c>
      <c r="G165">
        <v>20</v>
      </c>
      <c r="H165" s="12" t="s">
        <v>163</v>
      </c>
    </row>
    <row r="166" spans="1:8" x14ac:dyDescent="0.45">
      <c r="A166" s="3">
        <v>46230</v>
      </c>
      <c r="B166" s="12" t="s">
        <v>275</v>
      </c>
      <c r="C166" s="12" t="s">
        <v>26</v>
      </c>
      <c r="D166">
        <v>9</v>
      </c>
      <c r="E166">
        <v>80</v>
      </c>
      <c r="F166">
        <v>80</v>
      </c>
      <c r="G166">
        <v>0</v>
      </c>
      <c r="H166" s="12" t="s">
        <v>7</v>
      </c>
    </row>
    <row r="167" spans="1:8" x14ac:dyDescent="0.45">
      <c r="A167" s="3">
        <v>46211</v>
      </c>
      <c r="B167" s="12" t="s">
        <v>276</v>
      </c>
      <c r="C167" s="12" t="s">
        <v>24</v>
      </c>
      <c r="D167">
        <v>10</v>
      </c>
      <c r="E167">
        <v>120</v>
      </c>
      <c r="F167">
        <v>120</v>
      </c>
      <c r="G167">
        <v>0</v>
      </c>
      <c r="H167" s="12" t="s">
        <v>7</v>
      </c>
    </row>
    <row r="168" spans="1:8" x14ac:dyDescent="0.45">
      <c r="A168" s="3">
        <v>46199</v>
      </c>
      <c r="B168" s="12" t="s">
        <v>277</v>
      </c>
      <c r="C168" s="12" t="s">
        <v>17</v>
      </c>
      <c r="D168">
        <v>14</v>
      </c>
      <c r="E168">
        <v>80</v>
      </c>
      <c r="F168">
        <v>50</v>
      </c>
      <c r="G168">
        <v>30</v>
      </c>
      <c r="H168" s="12" t="s">
        <v>126</v>
      </c>
    </row>
    <row r="169" spans="1:8" x14ac:dyDescent="0.45">
      <c r="A169" s="3">
        <v>46255</v>
      </c>
      <c r="B169" s="12" t="s">
        <v>278</v>
      </c>
      <c r="C169" s="12" t="s">
        <v>22</v>
      </c>
      <c r="D169">
        <v>11</v>
      </c>
      <c r="E169">
        <v>120</v>
      </c>
      <c r="F169">
        <v>90</v>
      </c>
      <c r="G169">
        <v>30</v>
      </c>
      <c r="H169" s="12" t="s">
        <v>96</v>
      </c>
    </row>
    <row r="170" spans="1:8" x14ac:dyDescent="0.45">
      <c r="A170" s="3">
        <v>46084</v>
      </c>
      <c r="B170" s="12" t="s">
        <v>279</v>
      </c>
      <c r="C170" s="12" t="s">
        <v>15</v>
      </c>
      <c r="D170">
        <v>9</v>
      </c>
      <c r="E170">
        <v>90</v>
      </c>
      <c r="F170">
        <v>90</v>
      </c>
      <c r="G170">
        <v>0</v>
      </c>
      <c r="H170" s="12" t="s">
        <v>7</v>
      </c>
    </row>
    <row r="171" spans="1:8" x14ac:dyDescent="0.45">
      <c r="A171" s="3">
        <v>46084</v>
      </c>
      <c r="B171" s="12" t="s">
        <v>280</v>
      </c>
      <c r="C171" s="12" t="s">
        <v>6</v>
      </c>
      <c r="D171">
        <v>11</v>
      </c>
      <c r="E171">
        <v>90</v>
      </c>
      <c r="F171">
        <v>90</v>
      </c>
      <c r="G171">
        <v>0</v>
      </c>
      <c r="H171" s="12" t="s">
        <v>7</v>
      </c>
    </row>
    <row r="172" spans="1:8" x14ac:dyDescent="0.45">
      <c r="A172" s="3">
        <v>46121</v>
      </c>
      <c r="B172" s="12" t="s">
        <v>281</v>
      </c>
      <c r="C172" s="12" t="s">
        <v>17</v>
      </c>
      <c r="D172">
        <v>8</v>
      </c>
      <c r="E172">
        <v>80</v>
      </c>
      <c r="F172">
        <v>50</v>
      </c>
      <c r="G172">
        <v>30</v>
      </c>
      <c r="H172" s="12" t="s">
        <v>282</v>
      </c>
    </row>
    <row r="173" spans="1:8" x14ac:dyDescent="0.45">
      <c r="A173" s="3">
        <v>46291</v>
      </c>
      <c r="B173" s="12" t="s">
        <v>283</v>
      </c>
      <c r="C173" s="12" t="s">
        <v>15</v>
      </c>
      <c r="D173">
        <v>15</v>
      </c>
      <c r="E173">
        <v>90</v>
      </c>
      <c r="F173">
        <v>90</v>
      </c>
      <c r="G173">
        <v>0</v>
      </c>
      <c r="H173" s="12" t="s">
        <v>7</v>
      </c>
    </row>
    <row r="174" spans="1:8" x14ac:dyDescent="0.45">
      <c r="A174" s="3">
        <v>46122</v>
      </c>
      <c r="B174" s="12" t="s">
        <v>284</v>
      </c>
      <c r="C174" s="12" t="s">
        <v>26</v>
      </c>
      <c r="D174">
        <v>7</v>
      </c>
      <c r="E174">
        <v>80</v>
      </c>
      <c r="F174">
        <v>40</v>
      </c>
      <c r="G174">
        <v>40</v>
      </c>
      <c r="H174" s="12" t="s">
        <v>285</v>
      </c>
    </row>
    <row r="175" spans="1:8" x14ac:dyDescent="0.45">
      <c r="A175" s="3">
        <v>46177</v>
      </c>
      <c r="B175" s="12" t="s">
        <v>286</v>
      </c>
      <c r="C175" s="12" t="s">
        <v>23</v>
      </c>
      <c r="D175">
        <v>8</v>
      </c>
      <c r="E175">
        <v>90</v>
      </c>
      <c r="F175">
        <v>60</v>
      </c>
      <c r="G175">
        <v>30</v>
      </c>
      <c r="H175" s="12" t="s">
        <v>99</v>
      </c>
    </row>
    <row r="176" spans="1:8" x14ac:dyDescent="0.45">
      <c r="A176" s="3">
        <v>46046</v>
      </c>
      <c r="B176" s="12" t="s">
        <v>287</v>
      </c>
      <c r="C176" s="12" t="s">
        <v>18</v>
      </c>
      <c r="D176">
        <v>10</v>
      </c>
      <c r="E176">
        <v>90</v>
      </c>
      <c r="F176">
        <v>65</v>
      </c>
      <c r="G176">
        <v>25</v>
      </c>
      <c r="H176" s="12" t="s">
        <v>288</v>
      </c>
    </row>
    <row r="177" spans="1:8" x14ac:dyDescent="0.45">
      <c r="A177" s="3">
        <v>46274</v>
      </c>
      <c r="B177" s="12" t="s">
        <v>289</v>
      </c>
      <c r="C177" s="12" t="s">
        <v>26</v>
      </c>
      <c r="D177">
        <v>8</v>
      </c>
      <c r="E177">
        <v>80</v>
      </c>
      <c r="F177">
        <v>40</v>
      </c>
      <c r="G177">
        <v>40</v>
      </c>
      <c r="H177" s="12" t="s">
        <v>290</v>
      </c>
    </row>
    <row r="178" spans="1:8" x14ac:dyDescent="0.45">
      <c r="A178" s="3">
        <v>46263</v>
      </c>
      <c r="B178" s="12" t="s">
        <v>291</v>
      </c>
      <c r="C178" s="12" t="s">
        <v>16</v>
      </c>
      <c r="D178">
        <v>10</v>
      </c>
      <c r="E178">
        <v>120</v>
      </c>
      <c r="F178">
        <v>120</v>
      </c>
      <c r="G178">
        <v>0</v>
      </c>
      <c r="H178" s="12" t="s">
        <v>7</v>
      </c>
    </row>
    <row r="179" spans="1:8" x14ac:dyDescent="0.45">
      <c r="A179" s="3">
        <v>46117</v>
      </c>
      <c r="B179" s="12" t="s">
        <v>292</v>
      </c>
      <c r="C179" s="12" t="s">
        <v>12</v>
      </c>
      <c r="D179">
        <v>11</v>
      </c>
      <c r="E179">
        <v>100</v>
      </c>
      <c r="F179">
        <v>70</v>
      </c>
      <c r="G179">
        <v>30</v>
      </c>
      <c r="H179" s="12" t="s">
        <v>293</v>
      </c>
    </row>
    <row r="180" spans="1:8" x14ac:dyDescent="0.45">
      <c r="A180" s="3">
        <v>46056</v>
      </c>
      <c r="B180" s="12" t="s">
        <v>294</v>
      </c>
      <c r="C180" s="12" t="s">
        <v>19</v>
      </c>
      <c r="D180">
        <v>7</v>
      </c>
      <c r="E180">
        <v>100</v>
      </c>
      <c r="F180">
        <v>80</v>
      </c>
      <c r="G180">
        <v>20</v>
      </c>
      <c r="H180" s="12" t="s">
        <v>260</v>
      </c>
    </row>
    <row r="181" spans="1:8" x14ac:dyDescent="0.45">
      <c r="A181" s="3">
        <v>46050</v>
      </c>
      <c r="B181" s="12" t="s">
        <v>295</v>
      </c>
      <c r="C181" s="12" t="s">
        <v>25</v>
      </c>
      <c r="D181">
        <v>15</v>
      </c>
      <c r="E181">
        <v>100</v>
      </c>
      <c r="F181">
        <v>60</v>
      </c>
      <c r="G181">
        <v>40</v>
      </c>
      <c r="H181" s="12" t="s">
        <v>296</v>
      </c>
    </row>
    <row r="182" spans="1:8" x14ac:dyDescent="0.45">
      <c r="A182" s="3">
        <v>46066</v>
      </c>
      <c r="B182" s="12" t="s">
        <v>297</v>
      </c>
      <c r="C182" s="12" t="s">
        <v>16</v>
      </c>
      <c r="D182">
        <v>10</v>
      </c>
      <c r="E182">
        <v>120</v>
      </c>
      <c r="F182">
        <v>80</v>
      </c>
      <c r="G182">
        <v>40</v>
      </c>
      <c r="H182" s="12" t="s">
        <v>298</v>
      </c>
    </row>
    <row r="183" spans="1:8" x14ac:dyDescent="0.45">
      <c r="A183" s="3">
        <v>46138</v>
      </c>
      <c r="B183" s="12" t="s">
        <v>299</v>
      </c>
      <c r="C183" s="12" t="s">
        <v>17</v>
      </c>
      <c r="D183">
        <v>12</v>
      </c>
      <c r="E183">
        <v>80</v>
      </c>
      <c r="F183">
        <v>80</v>
      </c>
      <c r="G183">
        <v>0</v>
      </c>
      <c r="H183" s="12" t="s">
        <v>7</v>
      </c>
    </row>
    <row r="184" spans="1:8" x14ac:dyDescent="0.45">
      <c r="A184" s="3">
        <v>46253</v>
      </c>
      <c r="B184" s="12" t="s">
        <v>300</v>
      </c>
      <c r="C184" s="12" t="s">
        <v>11</v>
      </c>
      <c r="D184">
        <v>12</v>
      </c>
      <c r="E184">
        <v>90</v>
      </c>
      <c r="F184">
        <v>70</v>
      </c>
      <c r="G184">
        <v>20</v>
      </c>
      <c r="H184" s="12" t="s">
        <v>301</v>
      </c>
    </row>
    <row r="185" spans="1:8" x14ac:dyDescent="0.45">
      <c r="A185" s="3">
        <v>46179</v>
      </c>
      <c r="B185" s="12" t="s">
        <v>302</v>
      </c>
      <c r="C185" s="12" t="s">
        <v>16</v>
      </c>
      <c r="D185">
        <v>12</v>
      </c>
      <c r="E185">
        <v>120</v>
      </c>
      <c r="F185">
        <v>120</v>
      </c>
      <c r="G185">
        <v>0</v>
      </c>
      <c r="H185" s="12" t="s">
        <v>7</v>
      </c>
    </row>
    <row r="186" spans="1:8" x14ac:dyDescent="0.45">
      <c r="A186" s="3">
        <v>46073</v>
      </c>
      <c r="B186" s="12" t="s">
        <v>303</v>
      </c>
      <c r="C186" s="12" t="s">
        <v>8</v>
      </c>
      <c r="D186">
        <v>6</v>
      </c>
      <c r="E186">
        <v>120</v>
      </c>
      <c r="F186">
        <v>120</v>
      </c>
      <c r="G186">
        <v>0</v>
      </c>
      <c r="H186" s="12" t="s">
        <v>7</v>
      </c>
    </row>
    <row r="187" spans="1:8" x14ac:dyDescent="0.45">
      <c r="A187" s="3">
        <v>46158</v>
      </c>
      <c r="B187" s="12" t="s">
        <v>304</v>
      </c>
      <c r="C187" s="12" t="s">
        <v>6</v>
      </c>
      <c r="D187">
        <v>9</v>
      </c>
      <c r="E187">
        <v>90</v>
      </c>
      <c r="F187">
        <v>90</v>
      </c>
      <c r="G187">
        <v>0</v>
      </c>
      <c r="H187" s="12" t="s">
        <v>7</v>
      </c>
    </row>
    <row r="188" spans="1:8" x14ac:dyDescent="0.45">
      <c r="A188" s="3">
        <v>46145</v>
      </c>
      <c r="B188" s="12" t="s">
        <v>305</v>
      </c>
      <c r="C188" s="12" t="s">
        <v>25</v>
      </c>
      <c r="D188">
        <v>8</v>
      </c>
      <c r="E188">
        <v>100</v>
      </c>
      <c r="F188">
        <v>60</v>
      </c>
      <c r="G188">
        <v>40</v>
      </c>
      <c r="H188" s="12" t="s">
        <v>288</v>
      </c>
    </row>
    <row r="189" spans="1:8" x14ac:dyDescent="0.45">
      <c r="A189" s="3">
        <v>46024</v>
      </c>
      <c r="B189" s="12" t="s">
        <v>306</v>
      </c>
      <c r="C189" s="12" t="s">
        <v>25</v>
      </c>
      <c r="D189">
        <v>8</v>
      </c>
      <c r="E189">
        <v>100</v>
      </c>
      <c r="F189">
        <v>60</v>
      </c>
      <c r="G189">
        <v>40</v>
      </c>
      <c r="H189" s="12" t="s">
        <v>307</v>
      </c>
    </row>
    <row r="190" spans="1:8" x14ac:dyDescent="0.45">
      <c r="A190" s="3">
        <v>46172</v>
      </c>
      <c r="B190" s="12" t="s">
        <v>308</v>
      </c>
      <c r="C190" s="12" t="s">
        <v>8</v>
      </c>
      <c r="D190">
        <v>13</v>
      </c>
      <c r="E190">
        <v>120</v>
      </c>
      <c r="F190">
        <v>80</v>
      </c>
      <c r="G190">
        <v>40</v>
      </c>
      <c r="H190" s="12" t="s">
        <v>226</v>
      </c>
    </row>
    <row r="191" spans="1:8" x14ac:dyDescent="0.45">
      <c r="A191" s="3">
        <v>46255</v>
      </c>
      <c r="B191" s="12" t="s">
        <v>309</v>
      </c>
      <c r="C191" s="12" t="s">
        <v>26</v>
      </c>
      <c r="D191">
        <v>10</v>
      </c>
      <c r="E191">
        <v>80</v>
      </c>
      <c r="F191">
        <v>40</v>
      </c>
      <c r="G191">
        <v>40</v>
      </c>
      <c r="H191" s="12" t="s">
        <v>226</v>
      </c>
    </row>
    <row r="192" spans="1:8" x14ac:dyDescent="0.45">
      <c r="A192" s="3">
        <v>46124</v>
      </c>
      <c r="B192" s="12" t="s">
        <v>310</v>
      </c>
      <c r="C192" s="12" t="s">
        <v>15</v>
      </c>
      <c r="D192">
        <v>15</v>
      </c>
      <c r="E192">
        <v>90</v>
      </c>
      <c r="F192">
        <v>60</v>
      </c>
      <c r="G192">
        <v>30</v>
      </c>
      <c r="H192" s="12" t="s">
        <v>189</v>
      </c>
    </row>
    <row r="193" spans="1:8" x14ac:dyDescent="0.45">
      <c r="A193" s="3">
        <v>46099</v>
      </c>
      <c r="B193" s="12" t="s">
        <v>311</v>
      </c>
      <c r="C193" s="12" t="s">
        <v>17</v>
      </c>
      <c r="D193">
        <v>9</v>
      </c>
      <c r="E193">
        <v>80</v>
      </c>
      <c r="F193">
        <v>50</v>
      </c>
      <c r="G193">
        <v>30</v>
      </c>
      <c r="H193" s="12" t="s">
        <v>312</v>
      </c>
    </row>
    <row r="194" spans="1:8" x14ac:dyDescent="0.45">
      <c r="A194" s="3">
        <v>46107</v>
      </c>
      <c r="B194" s="12" t="s">
        <v>313</v>
      </c>
      <c r="C194" s="12" t="s">
        <v>25</v>
      </c>
      <c r="D194">
        <v>6</v>
      </c>
      <c r="E194">
        <v>100</v>
      </c>
      <c r="F194">
        <v>60</v>
      </c>
      <c r="G194">
        <v>40</v>
      </c>
      <c r="H194" s="12" t="s">
        <v>74</v>
      </c>
    </row>
    <row r="195" spans="1:8" x14ac:dyDescent="0.45">
      <c r="A195" s="3">
        <v>46086</v>
      </c>
      <c r="B195" s="12" t="s">
        <v>314</v>
      </c>
      <c r="C195" s="12" t="s">
        <v>26</v>
      </c>
      <c r="D195">
        <v>13</v>
      </c>
      <c r="E195">
        <v>80</v>
      </c>
      <c r="F195">
        <v>40</v>
      </c>
      <c r="G195">
        <v>40</v>
      </c>
      <c r="H195" s="12" t="s">
        <v>256</v>
      </c>
    </row>
    <row r="196" spans="1:8" x14ac:dyDescent="0.45">
      <c r="A196" s="3">
        <v>46279</v>
      </c>
      <c r="B196" s="12" t="s">
        <v>315</v>
      </c>
      <c r="C196" s="12" t="s">
        <v>13</v>
      </c>
      <c r="D196">
        <v>10</v>
      </c>
      <c r="E196">
        <v>90</v>
      </c>
      <c r="F196">
        <v>90</v>
      </c>
      <c r="G196">
        <v>0</v>
      </c>
      <c r="H196" s="12" t="s">
        <v>7</v>
      </c>
    </row>
    <row r="197" spans="1:8" x14ac:dyDescent="0.45">
      <c r="A197" s="3">
        <v>46064</v>
      </c>
      <c r="B197" s="12" t="s">
        <v>316</v>
      </c>
      <c r="C197" s="12" t="s">
        <v>19</v>
      </c>
      <c r="D197">
        <v>13</v>
      </c>
      <c r="E197">
        <v>100</v>
      </c>
      <c r="F197">
        <v>100</v>
      </c>
      <c r="G197">
        <v>0</v>
      </c>
      <c r="H197" s="12" t="s">
        <v>7</v>
      </c>
    </row>
    <row r="198" spans="1:8" x14ac:dyDescent="0.45">
      <c r="A198" s="3">
        <v>46188</v>
      </c>
      <c r="B198" s="12" t="s">
        <v>317</v>
      </c>
      <c r="C198" s="12" t="s">
        <v>27</v>
      </c>
      <c r="D198">
        <v>12</v>
      </c>
      <c r="E198">
        <v>90</v>
      </c>
      <c r="F198">
        <v>90</v>
      </c>
      <c r="G198">
        <v>0</v>
      </c>
      <c r="H198" s="12" t="s">
        <v>7</v>
      </c>
    </row>
    <row r="199" spans="1:8" x14ac:dyDescent="0.45">
      <c r="A199" s="3">
        <v>46069</v>
      </c>
      <c r="B199" s="12" t="s">
        <v>318</v>
      </c>
      <c r="C199" s="12" t="s">
        <v>15</v>
      </c>
      <c r="D199">
        <v>6</v>
      </c>
      <c r="E199">
        <v>90</v>
      </c>
      <c r="F199">
        <v>60</v>
      </c>
      <c r="G199">
        <v>30</v>
      </c>
      <c r="H199" s="12" t="s">
        <v>319</v>
      </c>
    </row>
    <row r="200" spans="1:8" x14ac:dyDescent="0.45">
      <c r="A200" s="3">
        <v>46160</v>
      </c>
      <c r="B200" s="12" t="s">
        <v>320</v>
      </c>
      <c r="C200" s="12" t="s">
        <v>16</v>
      </c>
      <c r="D200">
        <v>6</v>
      </c>
      <c r="E200">
        <v>120</v>
      </c>
      <c r="F200">
        <v>120</v>
      </c>
      <c r="G200">
        <v>0</v>
      </c>
      <c r="H200" s="12" t="s">
        <v>7</v>
      </c>
    </row>
    <row r="201" spans="1:8" x14ac:dyDescent="0.45">
      <c r="A201" s="3">
        <v>46263</v>
      </c>
      <c r="B201" s="12" t="s">
        <v>321</v>
      </c>
      <c r="C201" s="12" t="s">
        <v>27</v>
      </c>
      <c r="D201">
        <v>8</v>
      </c>
      <c r="E201">
        <v>90</v>
      </c>
      <c r="F201">
        <v>90</v>
      </c>
      <c r="G201">
        <v>0</v>
      </c>
      <c r="H201" s="12" t="s">
        <v>7</v>
      </c>
    </row>
    <row r="202" spans="1:8" x14ac:dyDescent="0.45">
      <c r="A202" s="3">
        <v>46165</v>
      </c>
      <c r="B202" s="12" t="s">
        <v>322</v>
      </c>
      <c r="C202" s="12" t="s">
        <v>21</v>
      </c>
      <c r="D202">
        <v>13</v>
      </c>
      <c r="E202">
        <v>100</v>
      </c>
      <c r="F202">
        <v>70</v>
      </c>
      <c r="G202">
        <v>30</v>
      </c>
      <c r="H202" s="12" t="s">
        <v>171</v>
      </c>
    </row>
    <row r="203" spans="1:8" x14ac:dyDescent="0.45">
      <c r="A203" s="3">
        <v>46069</v>
      </c>
      <c r="B203" s="12" t="s">
        <v>323</v>
      </c>
      <c r="C203" s="12" t="s">
        <v>14</v>
      </c>
      <c r="D203">
        <v>13</v>
      </c>
      <c r="E203">
        <v>120</v>
      </c>
      <c r="F203">
        <v>120</v>
      </c>
      <c r="G203">
        <v>0</v>
      </c>
      <c r="H203" s="12" t="s">
        <v>7</v>
      </c>
    </row>
    <row r="204" spans="1:8" x14ac:dyDescent="0.45">
      <c r="A204" s="3">
        <v>46193</v>
      </c>
      <c r="B204" s="12" t="s">
        <v>324</v>
      </c>
      <c r="C204" s="12" t="s">
        <v>23</v>
      </c>
      <c r="D204">
        <v>12</v>
      </c>
      <c r="E204">
        <v>90</v>
      </c>
      <c r="F204">
        <v>60</v>
      </c>
      <c r="G204">
        <v>30</v>
      </c>
      <c r="H204" s="12" t="s">
        <v>45</v>
      </c>
    </row>
    <row r="205" spans="1:8" x14ac:dyDescent="0.45">
      <c r="A205" s="3">
        <v>46233</v>
      </c>
      <c r="B205" s="12" t="s">
        <v>325</v>
      </c>
      <c r="C205" s="12" t="s">
        <v>10</v>
      </c>
      <c r="D205">
        <v>11</v>
      </c>
      <c r="E205">
        <v>70</v>
      </c>
      <c r="F205">
        <v>70</v>
      </c>
      <c r="G205">
        <v>0</v>
      </c>
      <c r="H205" s="12" t="s">
        <v>7</v>
      </c>
    </row>
    <row r="206" spans="1:8" x14ac:dyDescent="0.45">
      <c r="A206" s="3">
        <v>46228</v>
      </c>
      <c r="B206" s="12" t="s">
        <v>326</v>
      </c>
      <c r="C206" s="12" t="s">
        <v>19</v>
      </c>
      <c r="D206">
        <v>10</v>
      </c>
      <c r="E206">
        <v>100</v>
      </c>
      <c r="F206">
        <v>100</v>
      </c>
      <c r="G206">
        <v>0</v>
      </c>
      <c r="H206" s="12" t="s">
        <v>7</v>
      </c>
    </row>
    <row r="207" spans="1:8" x14ac:dyDescent="0.45">
      <c r="A207" s="3">
        <v>46255</v>
      </c>
      <c r="B207" s="12" t="s">
        <v>327</v>
      </c>
      <c r="C207" s="12" t="s">
        <v>17</v>
      </c>
      <c r="D207">
        <v>6</v>
      </c>
      <c r="E207">
        <v>80</v>
      </c>
      <c r="F207">
        <v>50</v>
      </c>
      <c r="G207">
        <v>30</v>
      </c>
      <c r="H207" s="12" t="s">
        <v>72</v>
      </c>
    </row>
    <row r="208" spans="1:8" x14ac:dyDescent="0.45">
      <c r="A208" s="3">
        <v>46082</v>
      </c>
      <c r="B208" s="12" t="s">
        <v>328</v>
      </c>
      <c r="C208" s="12" t="s">
        <v>15</v>
      </c>
      <c r="D208">
        <v>11</v>
      </c>
      <c r="E208">
        <v>90</v>
      </c>
      <c r="F208">
        <v>90</v>
      </c>
      <c r="G208">
        <v>0</v>
      </c>
      <c r="H208" s="12" t="s">
        <v>7</v>
      </c>
    </row>
    <row r="209" spans="1:8" x14ac:dyDescent="0.45">
      <c r="A209" s="3">
        <v>46023</v>
      </c>
      <c r="B209" s="12" t="s">
        <v>329</v>
      </c>
      <c r="C209" s="12" t="s">
        <v>13</v>
      </c>
      <c r="D209">
        <v>14</v>
      </c>
      <c r="E209">
        <v>90</v>
      </c>
      <c r="F209">
        <v>90</v>
      </c>
      <c r="G209">
        <v>0</v>
      </c>
      <c r="H209" s="12" t="s">
        <v>7</v>
      </c>
    </row>
    <row r="210" spans="1:8" x14ac:dyDescent="0.45">
      <c r="A210" s="3">
        <v>46234</v>
      </c>
      <c r="B210" s="12" t="s">
        <v>330</v>
      </c>
      <c r="C210" s="12" t="s">
        <v>17</v>
      </c>
      <c r="D210">
        <v>13</v>
      </c>
      <c r="E210">
        <v>80</v>
      </c>
      <c r="F210">
        <v>50</v>
      </c>
      <c r="G210">
        <v>30</v>
      </c>
      <c r="H210" s="12" t="s">
        <v>134</v>
      </c>
    </row>
    <row r="211" spans="1:8" x14ac:dyDescent="0.45">
      <c r="A211" s="3">
        <v>46278</v>
      </c>
      <c r="B211" s="12" t="s">
        <v>331</v>
      </c>
      <c r="C211" s="12" t="s">
        <v>11</v>
      </c>
      <c r="D211">
        <v>11</v>
      </c>
      <c r="E211">
        <v>90</v>
      </c>
      <c r="F211">
        <v>90</v>
      </c>
      <c r="G211">
        <v>0</v>
      </c>
      <c r="H211" s="12" t="s">
        <v>7</v>
      </c>
    </row>
    <row r="212" spans="1:8" x14ac:dyDescent="0.45">
      <c r="A212" s="3">
        <v>46127</v>
      </c>
      <c r="B212" s="12" t="s">
        <v>332</v>
      </c>
      <c r="C212" s="12" t="s">
        <v>12</v>
      </c>
      <c r="D212">
        <v>6</v>
      </c>
      <c r="E212">
        <v>100</v>
      </c>
      <c r="F212">
        <v>70</v>
      </c>
      <c r="G212">
        <v>30</v>
      </c>
      <c r="H212" s="12" t="s">
        <v>126</v>
      </c>
    </row>
    <row r="213" spans="1:8" x14ac:dyDescent="0.45">
      <c r="A213" s="3">
        <v>46247</v>
      </c>
      <c r="B213" s="12" t="s">
        <v>333</v>
      </c>
      <c r="C213" s="12" t="s">
        <v>18</v>
      </c>
      <c r="D213">
        <v>10</v>
      </c>
      <c r="E213">
        <v>90</v>
      </c>
      <c r="F213">
        <v>90</v>
      </c>
      <c r="G213">
        <v>0</v>
      </c>
      <c r="H213" s="12" t="s">
        <v>7</v>
      </c>
    </row>
    <row r="214" spans="1:8" x14ac:dyDescent="0.45">
      <c r="A214" s="3">
        <v>46037</v>
      </c>
      <c r="B214" s="12" t="s">
        <v>334</v>
      </c>
      <c r="C214" s="12" t="s">
        <v>19</v>
      </c>
      <c r="D214">
        <v>7</v>
      </c>
      <c r="E214">
        <v>100</v>
      </c>
      <c r="F214">
        <v>100</v>
      </c>
      <c r="G214">
        <v>0</v>
      </c>
      <c r="H214" s="12" t="s">
        <v>7</v>
      </c>
    </row>
    <row r="215" spans="1:8" x14ac:dyDescent="0.45">
      <c r="A215" s="3">
        <v>46104</v>
      </c>
      <c r="B215" s="12" t="s">
        <v>335</v>
      </c>
      <c r="C215" s="12" t="s">
        <v>8</v>
      </c>
      <c r="D215">
        <v>9</v>
      </c>
      <c r="E215">
        <v>120</v>
      </c>
      <c r="F215">
        <v>80</v>
      </c>
      <c r="G215">
        <v>40</v>
      </c>
      <c r="H215" s="12" t="s">
        <v>288</v>
      </c>
    </row>
    <row r="216" spans="1:8" x14ac:dyDescent="0.45">
      <c r="A216" s="3">
        <v>46231</v>
      </c>
      <c r="B216" s="12" t="s">
        <v>336</v>
      </c>
      <c r="C216" s="12" t="s">
        <v>20</v>
      </c>
      <c r="D216">
        <v>14</v>
      </c>
      <c r="E216">
        <v>90</v>
      </c>
      <c r="F216">
        <v>50</v>
      </c>
      <c r="G216">
        <v>40</v>
      </c>
      <c r="H216" s="12" t="s">
        <v>185</v>
      </c>
    </row>
    <row r="217" spans="1:8" x14ac:dyDescent="0.45">
      <c r="A217" s="3">
        <v>46083</v>
      </c>
      <c r="B217" s="12" t="s">
        <v>337</v>
      </c>
      <c r="C217" s="12" t="s">
        <v>9</v>
      </c>
      <c r="D217">
        <v>13</v>
      </c>
      <c r="E217">
        <v>90</v>
      </c>
      <c r="F217">
        <v>90</v>
      </c>
      <c r="G217">
        <v>0</v>
      </c>
      <c r="H217" s="12" t="s">
        <v>7</v>
      </c>
    </row>
    <row r="218" spans="1:8" x14ac:dyDescent="0.45">
      <c r="A218" s="3">
        <v>46172</v>
      </c>
      <c r="B218" s="12" t="s">
        <v>338</v>
      </c>
      <c r="C218" s="12" t="s">
        <v>18</v>
      </c>
      <c r="D218">
        <v>13</v>
      </c>
      <c r="E218">
        <v>90</v>
      </c>
      <c r="F218">
        <v>90</v>
      </c>
      <c r="G218">
        <v>0</v>
      </c>
      <c r="H218" s="12" t="s">
        <v>7</v>
      </c>
    </row>
    <row r="219" spans="1:8" x14ac:dyDescent="0.45">
      <c r="A219" s="3">
        <v>46270</v>
      </c>
      <c r="B219" s="12" t="s">
        <v>339</v>
      </c>
      <c r="C219" s="12" t="s">
        <v>15</v>
      </c>
      <c r="D219">
        <v>12</v>
      </c>
      <c r="E219">
        <v>90</v>
      </c>
      <c r="F219">
        <v>90</v>
      </c>
      <c r="G219">
        <v>0</v>
      </c>
      <c r="H219" s="12" t="s">
        <v>7</v>
      </c>
    </row>
    <row r="220" spans="1:8" x14ac:dyDescent="0.45">
      <c r="A220" s="3">
        <v>46097</v>
      </c>
      <c r="B220" s="12" t="s">
        <v>340</v>
      </c>
      <c r="C220" s="12" t="s">
        <v>24</v>
      </c>
      <c r="D220">
        <v>13</v>
      </c>
      <c r="E220">
        <v>120</v>
      </c>
      <c r="F220">
        <v>95</v>
      </c>
      <c r="G220">
        <v>25</v>
      </c>
      <c r="H220" s="12" t="s">
        <v>134</v>
      </c>
    </row>
    <row r="221" spans="1:8" x14ac:dyDescent="0.45">
      <c r="A221" s="3">
        <v>46092</v>
      </c>
      <c r="B221" s="12" t="s">
        <v>341</v>
      </c>
      <c r="C221" s="12" t="s">
        <v>8</v>
      </c>
      <c r="D221">
        <v>14</v>
      </c>
      <c r="E221">
        <v>120</v>
      </c>
      <c r="F221">
        <v>80</v>
      </c>
      <c r="G221">
        <v>40</v>
      </c>
      <c r="H221" s="12" t="s">
        <v>342</v>
      </c>
    </row>
    <row r="222" spans="1:8" x14ac:dyDescent="0.45">
      <c r="A222" s="3">
        <v>46282</v>
      </c>
      <c r="B222" s="12" t="s">
        <v>343</v>
      </c>
      <c r="C222" s="12" t="s">
        <v>14</v>
      </c>
      <c r="D222">
        <v>11</v>
      </c>
      <c r="E222">
        <v>120</v>
      </c>
      <c r="F222">
        <v>100</v>
      </c>
      <c r="G222">
        <v>20</v>
      </c>
      <c r="H222" s="12" t="s">
        <v>165</v>
      </c>
    </row>
    <row r="223" spans="1:8" x14ac:dyDescent="0.45">
      <c r="A223" s="3">
        <v>46273</v>
      </c>
      <c r="B223" s="12" t="s">
        <v>344</v>
      </c>
      <c r="C223" s="12" t="s">
        <v>26</v>
      </c>
      <c r="D223">
        <v>10</v>
      </c>
      <c r="E223">
        <v>80</v>
      </c>
      <c r="F223">
        <v>40</v>
      </c>
      <c r="G223">
        <v>40</v>
      </c>
      <c r="H223" s="12" t="s">
        <v>51</v>
      </c>
    </row>
    <row r="224" spans="1:8" x14ac:dyDescent="0.45">
      <c r="A224" s="3">
        <v>46199</v>
      </c>
      <c r="B224" s="12" t="s">
        <v>345</v>
      </c>
      <c r="C224" s="12" t="s">
        <v>17</v>
      </c>
      <c r="D224">
        <v>13</v>
      </c>
      <c r="E224">
        <v>80</v>
      </c>
      <c r="F224">
        <v>50</v>
      </c>
      <c r="G224">
        <v>30</v>
      </c>
      <c r="H224" s="12" t="s">
        <v>288</v>
      </c>
    </row>
    <row r="225" spans="1:8" x14ac:dyDescent="0.45">
      <c r="A225" s="3">
        <v>46256</v>
      </c>
      <c r="B225" s="12" t="s">
        <v>346</v>
      </c>
      <c r="C225" s="12" t="s">
        <v>17</v>
      </c>
      <c r="D225">
        <v>12</v>
      </c>
      <c r="E225">
        <v>80</v>
      </c>
      <c r="F225">
        <v>50</v>
      </c>
      <c r="G225">
        <v>30</v>
      </c>
      <c r="H225" s="12" t="s">
        <v>134</v>
      </c>
    </row>
    <row r="226" spans="1:8" x14ac:dyDescent="0.45">
      <c r="A226" s="3">
        <v>46219</v>
      </c>
      <c r="B226" s="12" t="s">
        <v>347</v>
      </c>
      <c r="C226" s="12" t="s">
        <v>24</v>
      </c>
      <c r="D226">
        <v>15</v>
      </c>
      <c r="E226">
        <v>120</v>
      </c>
      <c r="F226">
        <v>95</v>
      </c>
      <c r="G226">
        <v>25</v>
      </c>
      <c r="H226" s="12" t="s">
        <v>348</v>
      </c>
    </row>
    <row r="227" spans="1:8" x14ac:dyDescent="0.45">
      <c r="A227" s="3">
        <v>46265</v>
      </c>
      <c r="B227" s="12" t="s">
        <v>349</v>
      </c>
      <c r="C227" s="12" t="s">
        <v>27</v>
      </c>
      <c r="D227">
        <v>11</v>
      </c>
      <c r="E227">
        <v>90</v>
      </c>
      <c r="F227">
        <v>90</v>
      </c>
      <c r="G227">
        <v>0</v>
      </c>
      <c r="H227" s="12" t="s">
        <v>7</v>
      </c>
    </row>
    <row r="228" spans="1:8" x14ac:dyDescent="0.45">
      <c r="A228" s="3">
        <v>46100</v>
      </c>
      <c r="B228" s="12" t="s">
        <v>350</v>
      </c>
      <c r="C228" s="12" t="s">
        <v>13</v>
      </c>
      <c r="D228">
        <v>12</v>
      </c>
      <c r="E228">
        <v>90</v>
      </c>
      <c r="F228">
        <v>90</v>
      </c>
      <c r="G228">
        <v>0</v>
      </c>
      <c r="H228" s="12" t="s">
        <v>7</v>
      </c>
    </row>
    <row r="229" spans="1:8" x14ac:dyDescent="0.45">
      <c r="A229" s="3">
        <v>46280</v>
      </c>
      <c r="B229" s="12" t="s">
        <v>351</v>
      </c>
      <c r="C229" s="12" t="s">
        <v>27</v>
      </c>
      <c r="D229">
        <v>8</v>
      </c>
      <c r="E229">
        <v>90</v>
      </c>
      <c r="F229">
        <v>90</v>
      </c>
      <c r="G229">
        <v>0</v>
      </c>
      <c r="H229" s="12" t="s">
        <v>7</v>
      </c>
    </row>
    <row r="230" spans="1:8" x14ac:dyDescent="0.45">
      <c r="A230" s="3">
        <v>46248</v>
      </c>
      <c r="B230" s="12" t="s">
        <v>352</v>
      </c>
      <c r="C230" s="12" t="s">
        <v>22</v>
      </c>
      <c r="D230">
        <v>7</v>
      </c>
      <c r="E230">
        <v>120</v>
      </c>
      <c r="F230">
        <v>90</v>
      </c>
      <c r="G230">
        <v>30</v>
      </c>
      <c r="H230" s="12" t="s">
        <v>353</v>
      </c>
    </row>
    <row r="231" spans="1:8" x14ac:dyDescent="0.45">
      <c r="A231" s="3">
        <v>46096</v>
      </c>
      <c r="B231" s="12" t="s">
        <v>354</v>
      </c>
      <c r="C231" s="12" t="s">
        <v>12</v>
      </c>
      <c r="D231">
        <v>6</v>
      </c>
      <c r="E231">
        <v>100</v>
      </c>
      <c r="F231">
        <v>70</v>
      </c>
      <c r="G231">
        <v>30</v>
      </c>
      <c r="H231" s="12" t="s">
        <v>54</v>
      </c>
    </row>
    <row r="232" spans="1:8" x14ac:dyDescent="0.45">
      <c r="A232" s="3">
        <v>46158</v>
      </c>
      <c r="B232" s="12" t="s">
        <v>355</v>
      </c>
      <c r="C232" s="12" t="s">
        <v>25</v>
      </c>
      <c r="D232">
        <v>13</v>
      </c>
      <c r="E232">
        <v>100</v>
      </c>
      <c r="F232">
        <v>60</v>
      </c>
      <c r="G232">
        <v>40</v>
      </c>
      <c r="H232" s="12" t="s">
        <v>147</v>
      </c>
    </row>
    <row r="233" spans="1:8" x14ac:dyDescent="0.45">
      <c r="A233" s="3">
        <v>46191</v>
      </c>
      <c r="B233" s="12" t="s">
        <v>356</v>
      </c>
      <c r="C233" s="12" t="s">
        <v>21</v>
      </c>
      <c r="D233">
        <v>7</v>
      </c>
      <c r="E233">
        <v>100</v>
      </c>
      <c r="F233">
        <v>100</v>
      </c>
      <c r="G233">
        <v>0</v>
      </c>
      <c r="H233" s="12" t="s">
        <v>7</v>
      </c>
    </row>
    <row r="234" spans="1:8" x14ac:dyDescent="0.45">
      <c r="A234" s="3">
        <v>46185</v>
      </c>
      <c r="B234" s="12" t="s">
        <v>357</v>
      </c>
      <c r="C234" s="12" t="s">
        <v>17</v>
      </c>
      <c r="D234">
        <v>12</v>
      </c>
      <c r="E234">
        <v>80</v>
      </c>
      <c r="F234">
        <v>80</v>
      </c>
      <c r="G234">
        <v>0</v>
      </c>
      <c r="H234" s="12" t="s">
        <v>7</v>
      </c>
    </row>
    <row r="235" spans="1:8" x14ac:dyDescent="0.45">
      <c r="A235" s="3">
        <v>46041</v>
      </c>
      <c r="B235" s="12" t="s">
        <v>358</v>
      </c>
      <c r="C235" s="12" t="s">
        <v>19</v>
      </c>
      <c r="D235">
        <v>14</v>
      </c>
      <c r="E235">
        <v>100</v>
      </c>
      <c r="F235">
        <v>100</v>
      </c>
      <c r="G235">
        <v>0</v>
      </c>
      <c r="H235" s="12" t="s">
        <v>7</v>
      </c>
    </row>
    <row r="236" spans="1:8" x14ac:dyDescent="0.45">
      <c r="A236" s="3">
        <v>46170</v>
      </c>
      <c r="B236" s="12" t="s">
        <v>359</v>
      </c>
      <c r="C236" s="12" t="s">
        <v>25</v>
      </c>
      <c r="D236">
        <v>9</v>
      </c>
      <c r="E236">
        <v>100</v>
      </c>
      <c r="F236">
        <v>60</v>
      </c>
      <c r="G236">
        <v>40</v>
      </c>
      <c r="H236" s="12" t="s">
        <v>163</v>
      </c>
    </row>
    <row r="237" spans="1:8" x14ac:dyDescent="0.45">
      <c r="A237" s="3">
        <v>46074</v>
      </c>
      <c r="B237" s="12" t="s">
        <v>360</v>
      </c>
      <c r="C237" s="12" t="s">
        <v>14</v>
      </c>
      <c r="D237">
        <v>7</v>
      </c>
      <c r="E237">
        <v>120</v>
      </c>
      <c r="F237">
        <v>100</v>
      </c>
      <c r="G237">
        <v>20</v>
      </c>
      <c r="H237" s="12" t="s">
        <v>361</v>
      </c>
    </row>
    <row r="238" spans="1:8" x14ac:dyDescent="0.45">
      <c r="A238" s="3">
        <v>46046</v>
      </c>
      <c r="B238" s="12" t="s">
        <v>362</v>
      </c>
      <c r="C238" s="12" t="s">
        <v>26</v>
      </c>
      <c r="D238">
        <v>6</v>
      </c>
      <c r="E238">
        <v>80</v>
      </c>
      <c r="F238">
        <v>40</v>
      </c>
      <c r="G238">
        <v>40</v>
      </c>
      <c r="H238" s="12" t="s">
        <v>363</v>
      </c>
    </row>
    <row r="239" spans="1:8" x14ac:dyDescent="0.45">
      <c r="A239" s="3">
        <v>46214</v>
      </c>
      <c r="B239" s="12" t="s">
        <v>364</v>
      </c>
      <c r="C239" s="12" t="s">
        <v>26</v>
      </c>
      <c r="D239">
        <v>11</v>
      </c>
      <c r="E239">
        <v>80</v>
      </c>
      <c r="F239">
        <v>40</v>
      </c>
      <c r="G239">
        <v>40</v>
      </c>
      <c r="H239" s="12" t="s">
        <v>365</v>
      </c>
    </row>
    <row r="240" spans="1:8" x14ac:dyDescent="0.45">
      <c r="A240" s="3">
        <v>46233</v>
      </c>
      <c r="B240" s="12" t="s">
        <v>366</v>
      </c>
      <c r="C240" s="12" t="s">
        <v>24</v>
      </c>
      <c r="D240">
        <v>14</v>
      </c>
      <c r="E240">
        <v>120</v>
      </c>
      <c r="F240">
        <v>120</v>
      </c>
      <c r="G240">
        <v>0</v>
      </c>
      <c r="H240" s="12" t="s">
        <v>7</v>
      </c>
    </row>
    <row r="241" spans="1:8" x14ac:dyDescent="0.45">
      <c r="A241" s="3">
        <v>46112</v>
      </c>
      <c r="B241" s="12" t="s">
        <v>367</v>
      </c>
      <c r="C241" s="12" t="s">
        <v>10</v>
      </c>
      <c r="D241">
        <v>8</v>
      </c>
      <c r="E241">
        <v>70</v>
      </c>
      <c r="F241">
        <v>30</v>
      </c>
      <c r="G241">
        <v>40</v>
      </c>
      <c r="H241" s="12" t="s">
        <v>56</v>
      </c>
    </row>
    <row r="242" spans="1:8" x14ac:dyDescent="0.45">
      <c r="A242" s="3">
        <v>46277</v>
      </c>
      <c r="B242" s="12" t="s">
        <v>368</v>
      </c>
      <c r="C242" s="12" t="s">
        <v>8</v>
      </c>
      <c r="D242">
        <v>9</v>
      </c>
      <c r="E242">
        <v>120</v>
      </c>
      <c r="F242">
        <v>120</v>
      </c>
      <c r="G242">
        <v>0</v>
      </c>
      <c r="H242" s="12" t="s">
        <v>7</v>
      </c>
    </row>
    <row r="243" spans="1:8" x14ac:dyDescent="0.45">
      <c r="A243" s="3">
        <v>46259</v>
      </c>
      <c r="B243" s="12" t="s">
        <v>369</v>
      </c>
      <c r="C243" s="12" t="s">
        <v>18</v>
      </c>
      <c r="D243">
        <v>9</v>
      </c>
      <c r="E243">
        <v>90</v>
      </c>
      <c r="F243">
        <v>90</v>
      </c>
      <c r="G243">
        <v>0</v>
      </c>
      <c r="H243" s="12" t="s">
        <v>7</v>
      </c>
    </row>
    <row r="244" spans="1:8" x14ac:dyDescent="0.45">
      <c r="A244" s="3">
        <v>46153</v>
      </c>
      <c r="B244" s="12" t="s">
        <v>370</v>
      </c>
      <c r="C244" s="12" t="s">
        <v>15</v>
      </c>
      <c r="D244">
        <v>13</v>
      </c>
      <c r="E244">
        <v>90</v>
      </c>
      <c r="F244">
        <v>90</v>
      </c>
      <c r="G244">
        <v>0</v>
      </c>
      <c r="H244" s="12" t="s">
        <v>7</v>
      </c>
    </row>
    <row r="245" spans="1:8" x14ac:dyDescent="0.45">
      <c r="A245" s="3">
        <v>46170</v>
      </c>
      <c r="B245" s="12" t="s">
        <v>371</v>
      </c>
      <c r="C245" s="12" t="s">
        <v>20</v>
      </c>
      <c r="D245">
        <v>13</v>
      </c>
      <c r="E245">
        <v>90</v>
      </c>
      <c r="F245">
        <v>90</v>
      </c>
      <c r="G245">
        <v>0</v>
      </c>
      <c r="H245" s="12" t="s">
        <v>7</v>
      </c>
    </row>
    <row r="246" spans="1:8" x14ac:dyDescent="0.45">
      <c r="A246" s="3">
        <v>46060</v>
      </c>
      <c r="B246" s="12" t="s">
        <v>372</v>
      </c>
      <c r="C246" s="12" t="s">
        <v>17</v>
      </c>
      <c r="D246">
        <v>8</v>
      </c>
      <c r="E246">
        <v>80</v>
      </c>
      <c r="F246">
        <v>50</v>
      </c>
      <c r="G246">
        <v>30</v>
      </c>
      <c r="H246" s="12" t="s">
        <v>373</v>
      </c>
    </row>
    <row r="247" spans="1:8" x14ac:dyDescent="0.45">
      <c r="A247" s="3">
        <v>46240</v>
      </c>
      <c r="B247" s="12" t="s">
        <v>374</v>
      </c>
      <c r="C247" s="12" t="s">
        <v>16</v>
      </c>
      <c r="D247">
        <v>10</v>
      </c>
      <c r="E247">
        <v>120</v>
      </c>
      <c r="F247">
        <v>120</v>
      </c>
      <c r="G247">
        <v>0</v>
      </c>
      <c r="H247" s="12" t="s">
        <v>7</v>
      </c>
    </row>
    <row r="248" spans="1:8" x14ac:dyDescent="0.45">
      <c r="A248" s="3">
        <v>46177</v>
      </c>
      <c r="B248" s="12" t="s">
        <v>375</v>
      </c>
      <c r="C248" s="12" t="s">
        <v>15</v>
      </c>
      <c r="D248">
        <v>13</v>
      </c>
      <c r="E248">
        <v>90</v>
      </c>
      <c r="F248">
        <v>60</v>
      </c>
      <c r="G248">
        <v>30</v>
      </c>
      <c r="H248" s="12" t="s">
        <v>193</v>
      </c>
    </row>
    <row r="249" spans="1:8" x14ac:dyDescent="0.45">
      <c r="A249" s="3">
        <v>46144</v>
      </c>
      <c r="B249" s="12" t="s">
        <v>376</v>
      </c>
      <c r="C249" s="12" t="s">
        <v>19</v>
      </c>
      <c r="D249">
        <v>7</v>
      </c>
      <c r="E249">
        <v>100</v>
      </c>
      <c r="F249">
        <v>80</v>
      </c>
      <c r="G249">
        <v>20</v>
      </c>
      <c r="H249" s="12" t="s">
        <v>377</v>
      </c>
    </row>
    <row r="250" spans="1:8" x14ac:dyDescent="0.45">
      <c r="A250" s="3">
        <v>46174</v>
      </c>
      <c r="B250" s="12" t="s">
        <v>378</v>
      </c>
      <c r="C250" s="12" t="s">
        <v>23</v>
      </c>
      <c r="D250">
        <v>15</v>
      </c>
      <c r="E250">
        <v>90</v>
      </c>
      <c r="F250">
        <v>90</v>
      </c>
      <c r="G250">
        <v>0</v>
      </c>
      <c r="H250" s="12" t="s">
        <v>7</v>
      </c>
    </row>
    <row r="251" spans="1:8" x14ac:dyDescent="0.45">
      <c r="A251" s="3">
        <v>46225</v>
      </c>
      <c r="B251" s="12" t="s">
        <v>379</v>
      </c>
      <c r="C251" s="12" t="s">
        <v>26</v>
      </c>
      <c r="D251">
        <v>6</v>
      </c>
      <c r="E251">
        <v>80</v>
      </c>
      <c r="F251">
        <v>40</v>
      </c>
      <c r="G251">
        <v>40</v>
      </c>
      <c r="H251" s="12" t="s">
        <v>380</v>
      </c>
    </row>
    <row r="252" spans="1:8" x14ac:dyDescent="0.45">
      <c r="A252" s="3">
        <v>46277</v>
      </c>
      <c r="B252" s="12" t="s">
        <v>381</v>
      </c>
      <c r="C252" s="12" t="s">
        <v>16</v>
      </c>
      <c r="D252">
        <v>6</v>
      </c>
      <c r="E252">
        <v>120</v>
      </c>
      <c r="F252">
        <v>80</v>
      </c>
      <c r="G252">
        <v>40</v>
      </c>
      <c r="H252" s="12" t="s">
        <v>285</v>
      </c>
    </row>
    <row r="253" spans="1:8" x14ac:dyDescent="0.45">
      <c r="A253" s="3">
        <v>46135</v>
      </c>
      <c r="B253" s="12" t="s">
        <v>382</v>
      </c>
      <c r="C253" s="12" t="s">
        <v>8</v>
      </c>
      <c r="D253">
        <v>11</v>
      </c>
      <c r="E253">
        <v>120</v>
      </c>
      <c r="F253">
        <v>120</v>
      </c>
      <c r="G253">
        <v>0</v>
      </c>
      <c r="H253" s="12" t="s">
        <v>7</v>
      </c>
    </row>
    <row r="254" spans="1:8" x14ac:dyDescent="0.45">
      <c r="A254" s="3">
        <v>46151</v>
      </c>
      <c r="B254" s="12" t="s">
        <v>383</v>
      </c>
      <c r="C254" s="12" t="s">
        <v>6</v>
      </c>
      <c r="D254">
        <v>15</v>
      </c>
      <c r="E254">
        <v>90</v>
      </c>
      <c r="F254">
        <v>90</v>
      </c>
      <c r="G254">
        <v>0</v>
      </c>
      <c r="H254" s="12" t="s">
        <v>7</v>
      </c>
    </row>
    <row r="255" spans="1:8" x14ac:dyDescent="0.45">
      <c r="A255" s="3">
        <v>46043</v>
      </c>
      <c r="B255" s="12" t="s">
        <v>384</v>
      </c>
      <c r="C255" s="12" t="s">
        <v>18</v>
      </c>
      <c r="D255">
        <v>7</v>
      </c>
      <c r="E255">
        <v>90</v>
      </c>
      <c r="F255">
        <v>65</v>
      </c>
      <c r="G255">
        <v>25</v>
      </c>
      <c r="H255" s="12" t="s">
        <v>385</v>
      </c>
    </row>
    <row r="256" spans="1:8" x14ac:dyDescent="0.45">
      <c r="A256" s="3">
        <v>46209</v>
      </c>
      <c r="B256" s="12" t="s">
        <v>386</v>
      </c>
      <c r="C256" s="12" t="s">
        <v>27</v>
      </c>
      <c r="D256">
        <v>15</v>
      </c>
      <c r="E256">
        <v>90</v>
      </c>
      <c r="F256">
        <v>90</v>
      </c>
      <c r="G256">
        <v>0</v>
      </c>
      <c r="H256" s="12" t="s">
        <v>7</v>
      </c>
    </row>
    <row r="257" spans="1:8" x14ac:dyDescent="0.45">
      <c r="A257" s="3">
        <v>46174</v>
      </c>
      <c r="B257" s="12" t="s">
        <v>387</v>
      </c>
      <c r="C257" s="12" t="s">
        <v>18</v>
      </c>
      <c r="D257">
        <v>7</v>
      </c>
      <c r="E257">
        <v>90</v>
      </c>
      <c r="F257">
        <v>65</v>
      </c>
      <c r="G257">
        <v>25</v>
      </c>
      <c r="H257" s="12" t="s">
        <v>228</v>
      </c>
    </row>
    <row r="258" spans="1:8" x14ac:dyDescent="0.45">
      <c r="A258" s="3">
        <v>46090</v>
      </c>
      <c r="B258" s="12" t="s">
        <v>388</v>
      </c>
      <c r="C258" s="12" t="s">
        <v>10</v>
      </c>
      <c r="D258">
        <v>9</v>
      </c>
      <c r="E258">
        <v>70</v>
      </c>
      <c r="F258">
        <v>70</v>
      </c>
      <c r="G258">
        <v>0</v>
      </c>
      <c r="H258" s="12" t="s">
        <v>7</v>
      </c>
    </row>
    <row r="259" spans="1:8" x14ac:dyDescent="0.45">
      <c r="A259" s="3">
        <v>46279</v>
      </c>
      <c r="B259" s="12" t="s">
        <v>389</v>
      </c>
      <c r="C259" s="12" t="s">
        <v>23</v>
      </c>
      <c r="D259">
        <v>14</v>
      </c>
      <c r="E259">
        <v>90</v>
      </c>
      <c r="F259">
        <v>60</v>
      </c>
      <c r="G259">
        <v>30</v>
      </c>
      <c r="H259" s="12" t="s">
        <v>361</v>
      </c>
    </row>
    <row r="260" spans="1:8" x14ac:dyDescent="0.45">
      <c r="A260" s="3">
        <v>46174</v>
      </c>
      <c r="B260" s="12" t="s">
        <v>390</v>
      </c>
      <c r="C260" s="12" t="s">
        <v>15</v>
      </c>
      <c r="D260">
        <v>13</v>
      </c>
      <c r="E260">
        <v>90</v>
      </c>
      <c r="F260">
        <v>90</v>
      </c>
      <c r="G260">
        <v>0</v>
      </c>
      <c r="H260" s="12" t="s">
        <v>7</v>
      </c>
    </row>
    <row r="261" spans="1:8" x14ac:dyDescent="0.45">
      <c r="A261" s="3">
        <v>46262</v>
      </c>
      <c r="B261" s="12" t="s">
        <v>391</v>
      </c>
      <c r="C261" s="12" t="s">
        <v>22</v>
      </c>
      <c r="D261">
        <v>7</v>
      </c>
      <c r="E261">
        <v>120</v>
      </c>
      <c r="F261">
        <v>90</v>
      </c>
      <c r="G261">
        <v>30</v>
      </c>
      <c r="H261" s="12" t="s">
        <v>312</v>
      </c>
    </row>
    <row r="262" spans="1:8" x14ac:dyDescent="0.45">
      <c r="A262" s="3">
        <v>46210</v>
      </c>
      <c r="B262" s="12" t="s">
        <v>392</v>
      </c>
      <c r="C262" s="12" t="s">
        <v>24</v>
      </c>
      <c r="D262">
        <v>12</v>
      </c>
      <c r="E262">
        <v>120</v>
      </c>
      <c r="F262">
        <v>95</v>
      </c>
      <c r="G262">
        <v>25</v>
      </c>
      <c r="H262" s="12" t="s">
        <v>147</v>
      </c>
    </row>
    <row r="263" spans="1:8" x14ac:dyDescent="0.45">
      <c r="A263" s="3">
        <v>46086</v>
      </c>
      <c r="B263" s="12" t="s">
        <v>393</v>
      </c>
      <c r="C263" s="12" t="s">
        <v>20</v>
      </c>
      <c r="D263">
        <v>10</v>
      </c>
      <c r="E263">
        <v>90</v>
      </c>
      <c r="F263">
        <v>50</v>
      </c>
      <c r="G263">
        <v>40</v>
      </c>
      <c r="H263" s="12" t="s">
        <v>394</v>
      </c>
    </row>
    <row r="264" spans="1:8" x14ac:dyDescent="0.45">
      <c r="A264" s="3">
        <v>46218</v>
      </c>
      <c r="B264" s="12" t="s">
        <v>395</v>
      </c>
      <c r="C264" s="12" t="s">
        <v>15</v>
      </c>
      <c r="D264">
        <v>15</v>
      </c>
      <c r="E264">
        <v>90</v>
      </c>
      <c r="F264">
        <v>90</v>
      </c>
      <c r="G264">
        <v>0</v>
      </c>
      <c r="H264" s="12" t="s">
        <v>7</v>
      </c>
    </row>
    <row r="265" spans="1:8" x14ac:dyDescent="0.45">
      <c r="A265" s="3">
        <v>46142</v>
      </c>
      <c r="B265" s="12" t="s">
        <v>396</v>
      </c>
      <c r="C265" s="12" t="s">
        <v>23</v>
      </c>
      <c r="D265">
        <v>7</v>
      </c>
      <c r="E265">
        <v>90</v>
      </c>
      <c r="F265">
        <v>90</v>
      </c>
      <c r="G265">
        <v>0</v>
      </c>
      <c r="H265" s="12" t="s">
        <v>7</v>
      </c>
    </row>
    <row r="266" spans="1:8" x14ac:dyDescent="0.45">
      <c r="A266" s="3">
        <v>46190</v>
      </c>
      <c r="B266" s="12" t="s">
        <v>397</v>
      </c>
      <c r="C266" s="12" t="s">
        <v>20</v>
      </c>
      <c r="D266">
        <v>15</v>
      </c>
      <c r="E266">
        <v>90</v>
      </c>
      <c r="F266">
        <v>90</v>
      </c>
      <c r="G266">
        <v>0</v>
      </c>
      <c r="H266" s="12" t="s">
        <v>7</v>
      </c>
    </row>
    <row r="267" spans="1:8" x14ac:dyDescent="0.45">
      <c r="A267" s="3">
        <v>46260</v>
      </c>
      <c r="B267" s="12" t="s">
        <v>398</v>
      </c>
      <c r="C267" s="12" t="s">
        <v>24</v>
      </c>
      <c r="D267">
        <v>7</v>
      </c>
      <c r="E267">
        <v>120</v>
      </c>
      <c r="F267">
        <v>120</v>
      </c>
      <c r="G267">
        <v>0</v>
      </c>
      <c r="H267" s="12" t="s">
        <v>7</v>
      </c>
    </row>
    <row r="268" spans="1:8" x14ac:dyDescent="0.45">
      <c r="A268" s="3">
        <v>46082</v>
      </c>
      <c r="B268" s="12" t="s">
        <v>399</v>
      </c>
      <c r="C268" s="12" t="s">
        <v>26</v>
      </c>
      <c r="D268">
        <v>12</v>
      </c>
      <c r="E268">
        <v>80</v>
      </c>
      <c r="F268">
        <v>40</v>
      </c>
      <c r="G268">
        <v>40</v>
      </c>
      <c r="H268" s="12" t="s">
        <v>400</v>
      </c>
    </row>
    <row r="269" spans="1:8" x14ac:dyDescent="0.45">
      <c r="A269" s="3">
        <v>46275</v>
      </c>
      <c r="B269" s="12" t="s">
        <v>401</v>
      </c>
      <c r="C269" s="12" t="s">
        <v>27</v>
      </c>
      <c r="D269">
        <v>10</v>
      </c>
      <c r="E269">
        <v>90</v>
      </c>
      <c r="F269">
        <v>50</v>
      </c>
      <c r="G269">
        <v>40</v>
      </c>
      <c r="H269" s="12" t="s">
        <v>402</v>
      </c>
    </row>
    <row r="270" spans="1:8" x14ac:dyDescent="0.45">
      <c r="A270" s="3">
        <v>46092</v>
      </c>
      <c r="B270" s="12" t="s">
        <v>403</v>
      </c>
      <c r="C270" s="12" t="s">
        <v>24</v>
      </c>
      <c r="D270">
        <v>14</v>
      </c>
      <c r="E270">
        <v>120</v>
      </c>
      <c r="F270">
        <v>95</v>
      </c>
      <c r="G270">
        <v>25</v>
      </c>
      <c r="H270" s="12" t="s">
        <v>404</v>
      </c>
    </row>
    <row r="271" spans="1:8" x14ac:dyDescent="0.45">
      <c r="A271" s="3">
        <v>46237</v>
      </c>
      <c r="B271" s="12" t="s">
        <v>405</v>
      </c>
      <c r="C271" s="12" t="s">
        <v>23</v>
      </c>
      <c r="D271">
        <v>14</v>
      </c>
      <c r="E271">
        <v>90</v>
      </c>
      <c r="F271">
        <v>90</v>
      </c>
      <c r="G271">
        <v>0</v>
      </c>
      <c r="H271" s="12" t="s">
        <v>7</v>
      </c>
    </row>
    <row r="272" spans="1:8" x14ac:dyDescent="0.45">
      <c r="A272" s="3">
        <v>46073</v>
      </c>
      <c r="B272" s="12" t="s">
        <v>406</v>
      </c>
      <c r="C272" s="12" t="s">
        <v>18</v>
      </c>
      <c r="D272">
        <v>12</v>
      </c>
      <c r="E272">
        <v>90</v>
      </c>
      <c r="F272">
        <v>90</v>
      </c>
      <c r="G272">
        <v>0</v>
      </c>
      <c r="H272" s="12" t="s">
        <v>7</v>
      </c>
    </row>
    <row r="273" spans="1:8" x14ac:dyDescent="0.45">
      <c r="A273" s="3">
        <v>46166</v>
      </c>
      <c r="B273" s="12" t="s">
        <v>407</v>
      </c>
      <c r="C273" s="12" t="s">
        <v>8</v>
      </c>
      <c r="D273">
        <v>12</v>
      </c>
      <c r="E273">
        <v>120</v>
      </c>
      <c r="F273">
        <v>80</v>
      </c>
      <c r="G273">
        <v>40</v>
      </c>
      <c r="H273" s="12" t="s">
        <v>394</v>
      </c>
    </row>
    <row r="274" spans="1:8" x14ac:dyDescent="0.45">
      <c r="A274" s="3">
        <v>46250</v>
      </c>
      <c r="B274" s="12" t="s">
        <v>408</v>
      </c>
      <c r="C274" s="12" t="s">
        <v>6</v>
      </c>
      <c r="D274">
        <v>13</v>
      </c>
      <c r="E274">
        <v>90</v>
      </c>
      <c r="F274">
        <v>60</v>
      </c>
      <c r="G274">
        <v>30</v>
      </c>
      <c r="H274" s="12" t="s">
        <v>409</v>
      </c>
    </row>
    <row r="275" spans="1:8" x14ac:dyDescent="0.45">
      <c r="A275" s="3">
        <v>46206</v>
      </c>
      <c r="B275" s="12" t="s">
        <v>410</v>
      </c>
      <c r="C275" s="12" t="s">
        <v>9</v>
      </c>
      <c r="D275">
        <v>11</v>
      </c>
      <c r="E275">
        <v>90</v>
      </c>
      <c r="F275">
        <v>60</v>
      </c>
      <c r="G275">
        <v>30</v>
      </c>
      <c r="H275" s="12" t="s">
        <v>147</v>
      </c>
    </row>
    <row r="276" spans="1:8" x14ac:dyDescent="0.45">
      <c r="A276" s="3">
        <v>46085</v>
      </c>
      <c r="B276" s="12" t="s">
        <v>411</v>
      </c>
      <c r="C276" s="12" t="s">
        <v>15</v>
      </c>
      <c r="D276">
        <v>9</v>
      </c>
      <c r="E276">
        <v>90</v>
      </c>
      <c r="F276">
        <v>60</v>
      </c>
      <c r="G276">
        <v>30</v>
      </c>
      <c r="H276" s="12" t="s">
        <v>163</v>
      </c>
    </row>
    <row r="277" spans="1:8" x14ac:dyDescent="0.45">
      <c r="A277" s="3">
        <v>46033</v>
      </c>
      <c r="B277" s="12" t="s">
        <v>412</v>
      </c>
      <c r="C277" s="12" t="s">
        <v>6</v>
      </c>
      <c r="D277">
        <v>15</v>
      </c>
      <c r="E277">
        <v>90</v>
      </c>
      <c r="F277">
        <v>60</v>
      </c>
      <c r="G277">
        <v>30</v>
      </c>
      <c r="H277" s="12" t="s">
        <v>179</v>
      </c>
    </row>
    <row r="278" spans="1:8" x14ac:dyDescent="0.45">
      <c r="A278" s="3">
        <v>46128</v>
      </c>
      <c r="B278" s="12" t="s">
        <v>413</v>
      </c>
      <c r="C278" s="12" t="s">
        <v>24</v>
      </c>
      <c r="D278">
        <v>8</v>
      </c>
      <c r="E278">
        <v>120</v>
      </c>
      <c r="F278">
        <v>95</v>
      </c>
      <c r="G278">
        <v>25</v>
      </c>
      <c r="H278" s="12" t="s">
        <v>288</v>
      </c>
    </row>
    <row r="279" spans="1:8" x14ac:dyDescent="0.45">
      <c r="A279" s="3">
        <v>46133</v>
      </c>
      <c r="B279" s="12" t="s">
        <v>414</v>
      </c>
      <c r="C279" s="12" t="s">
        <v>6</v>
      </c>
      <c r="D279">
        <v>15</v>
      </c>
      <c r="E279">
        <v>90</v>
      </c>
      <c r="F279">
        <v>60</v>
      </c>
      <c r="G279">
        <v>30</v>
      </c>
      <c r="H279" s="12" t="s">
        <v>415</v>
      </c>
    </row>
    <row r="280" spans="1:8" x14ac:dyDescent="0.45">
      <c r="A280" s="3">
        <v>46024</v>
      </c>
      <c r="B280" s="12" t="s">
        <v>416</v>
      </c>
      <c r="C280" s="12" t="s">
        <v>18</v>
      </c>
      <c r="D280">
        <v>15</v>
      </c>
      <c r="E280">
        <v>90</v>
      </c>
      <c r="F280">
        <v>65</v>
      </c>
      <c r="G280">
        <v>25</v>
      </c>
      <c r="H280" s="12" t="s">
        <v>365</v>
      </c>
    </row>
    <row r="281" spans="1:8" x14ac:dyDescent="0.45">
      <c r="A281" s="3">
        <v>46151</v>
      </c>
      <c r="B281" s="12" t="s">
        <v>417</v>
      </c>
      <c r="C281" s="12" t="s">
        <v>18</v>
      </c>
      <c r="D281">
        <v>14</v>
      </c>
      <c r="E281">
        <v>90</v>
      </c>
      <c r="F281">
        <v>65</v>
      </c>
      <c r="G281">
        <v>25</v>
      </c>
      <c r="H281" s="12" t="s">
        <v>418</v>
      </c>
    </row>
    <row r="282" spans="1:8" x14ac:dyDescent="0.45">
      <c r="A282" s="3">
        <v>46030</v>
      </c>
      <c r="B282" s="12" t="s">
        <v>419</v>
      </c>
      <c r="C282" s="12" t="s">
        <v>20</v>
      </c>
      <c r="D282">
        <v>8</v>
      </c>
      <c r="E282">
        <v>90</v>
      </c>
      <c r="F282">
        <v>50</v>
      </c>
      <c r="G282">
        <v>40</v>
      </c>
      <c r="H282" s="12" t="s">
        <v>128</v>
      </c>
    </row>
    <row r="283" spans="1:8" x14ac:dyDescent="0.45">
      <c r="A283" s="3">
        <v>46031</v>
      </c>
      <c r="B283" s="12" t="s">
        <v>420</v>
      </c>
      <c r="C283" s="12" t="s">
        <v>16</v>
      </c>
      <c r="D283">
        <v>11</v>
      </c>
      <c r="E283">
        <v>120</v>
      </c>
      <c r="F283">
        <v>80</v>
      </c>
      <c r="G283">
        <v>40</v>
      </c>
      <c r="H283" s="12" t="s">
        <v>158</v>
      </c>
    </row>
    <row r="284" spans="1:8" x14ac:dyDescent="0.45">
      <c r="A284" s="3">
        <v>46238</v>
      </c>
      <c r="B284" s="12" t="s">
        <v>421</v>
      </c>
      <c r="C284" s="12" t="s">
        <v>27</v>
      </c>
      <c r="D284">
        <v>8</v>
      </c>
      <c r="E284">
        <v>90</v>
      </c>
      <c r="F284">
        <v>90</v>
      </c>
      <c r="G284">
        <v>0</v>
      </c>
      <c r="H284" s="12" t="s">
        <v>7</v>
      </c>
    </row>
    <row r="285" spans="1:8" x14ac:dyDescent="0.45">
      <c r="A285" s="3">
        <v>46266</v>
      </c>
      <c r="B285" s="12" t="s">
        <v>422</v>
      </c>
      <c r="C285" s="12" t="s">
        <v>9</v>
      </c>
      <c r="D285">
        <v>7</v>
      </c>
      <c r="E285">
        <v>90</v>
      </c>
      <c r="F285">
        <v>60</v>
      </c>
      <c r="G285">
        <v>30</v>
      </c>
      <c r="H285" s="12" t="s">
        <v>409</v>
      </c>
    </row>
    <row r="286" spans="1:8" x14ac:dyDescent="0.45">
      <c r="A286" s="3">
        <v>46078</v>
      </c>
      <c r="B286" s="12" t="s">
        <v>423</v>
      </c>
      <c r="C286" s="12" t="s">
        <v>11</v>
      </c>
      <c r="D286">
        <v>15</v>
      </c>
      <c r="E286">
        <v>90</v>
      </c>
      <c r="F286">
        <v>70</v>
      </c>
      <c r="G286">
        <v>20</v>
      </c>
      <c r="H286" s="12" t="s">
        <v>424</v>
      </c>
    </row>
    <row r="287" spans="1:8" x14ac:dyDescent="0.45">
      <c r="A287" s="3">
        <v>46045</v>
      </c>
      <c r="B287" s="12" t="s">
        <v>425</v>
      </c>
      <c r="C287" s="12" t="s">
        <v>24</v>
      </c>
      <c r="D287">
        <v>15</v>
      </c>
      <c r="E287">
        <v>120</v>
      </c>
      <c r="F287">
        <v>120</v>
      </c>
      <c r="G287">
        <v>0</v>
      </c>
      <c r="H287" s="12" t="s">
        <v>7</v>
      </c>
    </row>
    <row r="288" spans="1:8" x14ac:dyDescent="0.45">
      <c r="A288" s="3">
        <v>46257</v>
      </c>
      <c r="B288" s="12" t="s">
        <v>426</v>
      </c>
      <c r="C288" s="12" t="s">
        <v>11</v>
      </c>
      <c r="D288">
        <v>10</v>
      </c>
      <c r="E288">
        <v>90</v>
      </c>
      <c r="F288">
        <v>90</v>
      </c>
      <c r="G288">
        <v>0</v>
      </c>
      <c r="H288" s="12" t="s">
        <v>7</v>
      </c>
    </row>
    <row r="289" spans="1:8" x14ac:dyDescent="0.45">
      <c r="A289" s="3">
        <v>46268</v>
      </c>
      <c r="B289" s="12" t="s">
        <v>427</v>
      </c>
      <c r="C289" s="12" t="s">
        <v>20</v>
      </c>
      <c r="D289">
        <v>6</v>
      </c>
      <c r="E289">
        <v>90</v>
      </c>
      <c r="F289">
        <v>50</v>
      </c>
      <c r="G289">
        <v>40</v>
      </c>
      <c r="H289" s="12" t="s">
        <v>239</v>
      </c>
    </row>
    <row r="290" spans="1:8" x14ac:dyDescent="0.45">
      <c r="A290" s="3">
        <v>46250</v>
      </c>
      <c r="B290" s="12" t="s">
        <v>428</v>
      </c>
      <c r="C290" s="12" t="s">
        <v>9</v>
      </c>
      <c r="D290">
        <v>13</v>
      </c>
      <c r="E290">
        <v>90</v>
      </c>
      <c r="F290">
        <v>60</v>
      </c>
      <c r="G290">
        <v>30</v>
      </c>
      <c r="H290" s="12" t="s">
        <v>429</v>
      </c>
    </row>
    <row r="291" spans="1:8" x14ac:dyDescent="0.45">
      <c r="A291" s="3">
        <v>46098</v>
      </c>
      <c r="B291" s="12" t="s">
        <v>430</v>
      </c>
      <c r="C291" s="12" t="s">
        <v>22</v>
      </c>
      <c r="D291">
        <v>15</v>
      </c>
      <c r="E291">
        <v>120</v>
      </c>
      <c r="F291">
        <v>90</v>
      </c>
      <c r="G291">
        <v>30</v>
      </c>
      <c r="H291" s="12" t="s">
        <v>431</v>
      </c>
    </row>
    <row r="292" spans="1:8" x14ac:dyDescent="0.45">
      <c r="A292" s="3">
        <v>46189</v>
      </c>
      <c r="B292" s="12" t="s">
        <v>432</v>
      </c>
      <c r="C292" s="12" t="s">
        <v>15</v>
      </c>
      <c r="D292">
        <v>15</v>
      </c>
      <c r="E292">
        <v>90</v>
      </c>
      <c r="F292">
        <v>60</v>
      </c>
      <c r="G292">
        <v>30</v>
      </c>
      <c r="H292" s="12" t="s">
        <v>433</v>
      </c>
    </row>
    <row r="293" spans="1:8" x14ac:dyDescent="0.45">
      <c r="A293" s="3">
        <v>46281</v>
      </c>
      <c r="B293" s="12" t="s">
        <v>434</v>
      </c>
      <c r="C293" s="12" t="s">
        <v>26</v>
      </c>
      <c r="D293">
        <v>13</v>
      </c>
      <c r="E293">
        <v>80</v>
      </c>
      <c r="F293">
        <v>80</v>
      </c>
      <c r="G293">
        <v>0</v>
      </c>
      <c r="H293" s="12" t="s">
        <v>7</v>
      </c>
    </row>
    <row r="294" spans="1:8" x14ac:dyDescent="0.45">
      <c r="A294" s="3">
        <v>46081</v>
      </c>
      <c r="B294" s="12" t="s">
        <v>435</v>
      </c>
      <c r="C294" s="12" t="s">
        <v>14</v>
      </c>
      <c r="D294">
        <v>7</v>
      </c>
      <c r="E294">
        <v>120</v>
      </c>
      <c r="F294">
        <v>120</v>
      </c>
      <c r="G294">
        <v>0</v>
      </c>
      <c r="H294" s="12" t="s">
        <v>7</v>
      </c>
    </row>
    <row r="295" spans="1:8" x14ac:dyDescent="0.45">
      <c r="A295" s="3">
        <v>46133</v>
      </c>
      <c r="B295" s="12" t="s">
        <v>436</v>
      </c>
      <c r="C295" s="12" t="s">
        <v>21</v>
      </c>
      <c r="D295">
        <v>14</v>
      </c>
      <c r="E295">
        <v>100</v>
      </c>
      <c r="F295">
        <v>70</v>
      </c>
      <c r="G295">
        <v>30</v>
      </c>
      <c r="H295" s="12" t="s">
        <v>307</v>
      </c>
    </row>
    <row r="296" spans="1:8" x14ac:dyDescent="0.45">
      <c r="A296" s="3">
        <v>46196</v>
      </c>
      <c r="B296" s="12" t="s">
        <v>437</v>
      </c>
      <c r="C296" s="12" t="s">
        <v>24</v>
      </c>
      <c r="D296">
        <v>12</v>
      </c>
      <c r="E296">
        <v>120</v>
      </c>
      <c r="F296">
        <v>95</v>
      </c>
      <c r="G296">
        <v>25</v>
      </c>
      <c r="H296" s="12" t="s">
        <v>438</v>
      </c>
    </row>
    <row r="297" spans="1:8" x14ac:dyDescent="0.45">
      <c r="A297" s="3">
        <v>46183</v>
      </c>
      <c r="B297" s="12" t="s">
        <v>439</v>
      </c>
      <c r="C297" s="12" t="s">
        <v>14</v>
      </c>
      <c r="D297">
        <v>7</v>
      </c>
      <c r="E297">
        <v>120</v>
      </c>
      <c r="F297">
        <v>100</v>
      </c>
      <c r="G297">
        <v>20</v>
      </c>
      <c r="H297" s="12" t="s">
        <v>72</v>
      </c>
    </row>
    <row r="298" spans="1:8" x14ac:dyDescent="0.45">
      <c r="A298" s="3">
        <v>46101</v>
      </c>
      <c r="B298" s="12" t="s">
        <v>440</v>
      </c>
      <c r="C298" s="12" t="s">
        <v>15</v>
      </c>
      <c r="D298">
        <v>11</v>
      </c>
      <c r="E298">
        <v>90</v>
      </c>
      <c r="F298">
        <v>90</v>
      </c>
      <c r="G298">
        <v>0</v>
      </c>
      <c r="H298" s="12" t="s">
        <v>7</v>
      </c>
    </row>
    <row r="299" spans="1:8" x14ac:dyDescent="0.45">
      <c r="A299" s="3">
        <v>46069</v>
      </c>
      <c r="B299" s="12" t="s">
        <v>441</v>
      </c>
      <c r="C299" s="12" t="s">
        <v>19</v>
      </c>
      <c r="D299">
        <v>7</v>
      </c>
      <c r="E299">
        <v>100</v>
      </c>
      <c r="F299">
        <v>80</v>
      </c>
      <c r="G299">
        <v>20</v>
      </c>
      <c r="H299" s="12" t="s">
        <v>163</v>
      </c>
    </row>
    <row r="300" spans="1:8" x14ac:dyDescent="0.45">
      <c r="A300" s="3">
        <v>46213</v>
      </c>
      <c r="B300" s="12" t="s">
        <v>442</v>
      </c>
      <c r="C300" s="12" t="s">
        <v>14</v>
      </c>
      <c r="D300">
        <v>7</v>
      </c>
      <c r="E300">
        <v>120</v>
      </c>
      <c r="F300">
        <v>100</v>
      </c>
      <c r="G300">
        <v>20</v>
      </c>
      <c r="H300" s="12" t="s">
        <v>443</v>
      </c>
    </row>
    <row r="301" spans="1:8" x14ac:dyDescent="0.45">
      <c r="A301" s="3">
        <v>46191</v>
      </c>
      <c r="B301" s="12" t="s">
        <v>444</v>
      </c>
      <c r="C301" s="12" t="s">
        <v>27</v>
      </c>
      <c r="D301">
        <v>15</v>
      </c>
      <c r="E301">
        <v>90</v>
      </c>
      <c r="F301">
        <v>90</v>
      </c>
      <c r="G301">
        <v>0</v>
      </c>
      <c r="H301" s="12" t="s">
        <v>7</v>
      </c>
    </row>
    <row r="302" spans="1:8" x14ac:dyDescent="0.45">
      <c r="A302" s="3">
        <v>46204</v>
      </c>
      <c r="B302" s="12" t="s">
        <v>445</v>
      </c>
      <c r="C302" s="12" t="s">
        <v>9</v>
      </c>
      <c r="D302">
        <v>12</v>
      </c>
      <c r="E302">
        <v>90</v>
      </c>
      <c r="F302">
        <v>90</v>
      </c>
      <c r="G302">
        <v>0</v>
      </c>
      <c r="H302" s="12" t="s">
        <v>7</v>
      </c>
    </row>
    <row r="303" spans="1:8" x14ac:dyDescent="0.45">
      <c r="A303" s="3">
        <v>46170</v>
      </c>
      <c r="B303" s="12" t="s">
        <v>446</v>
      </c>
      <c r="C303" s="12" t="s">
        <v>14</v>
      </c>
      <c r="D303">
        <v>6</v>
      </c>
      <c r="E303">
        <v>120</v>
      </c>
      <c r="F303">
        <v>120</v>
      </c>
      <c r="G303">
        <v>0</v>
      </c>
      <c r="H303" s="12" t="s">
        <v>7</v>
      </c>
    </row>
    <row r="304" spans="1:8" x14ac:dyDescent="0.45">
      <c r="A304" s="3">
        <v>46076</v>
      </c>
      <c r="B304" s="12" t="s">
        <v>447</v>
      </c>
      <c r="C304" s="12" t="s">
        <v>26</v>
      </c>
      <c r="D304">
        <v>11</v>
      </c>
      <c r="E304">
        <v>80</v>
      </c>
      <c r="F304">
        <v>80</v>
      </c>
      <c r="G304">
        <v>0</v>
      </c>
      <c r="H304" s="12" t="s">
        <v>7</v>
      </c>
    </row>
    <row r="305" spans="1:8" x14ac:dyDescent="0.45">
      <c r="A305" s="3">
        <v>46102</v>
      </c>
      <c r="B305" s="12" t="s">
        <v>448</v>
      </c>
      <c r="C305" s="12" t="s">
        <v>11</v>
      </c>
      <c r="D305">
        <v>9</v>
      </c>
      <c r="E305">
        <v>90</v>
      </c>
      <c r="F305">
        <v>90</v>
      </c>
      <c r="G305">
        <v>0</v>
      </c>
      <c r="H305" s="12" t="s">
        <v>7</v>
      </c>
    </row>
    <row r="306" spans="1:8" x14ac:dyDescent="0.45">
      <c r="A306" s="3">
        <v>46078</v>
      </c>
      <c r="B306" s="12" t="s">
        <v>449</v>
      </c>
      <c r="C306" s="12" t="s">
        <v>19</v>
      </c>
      <c r="D306">
        <v>9</v>
      </c>
      <c r="E306">
        <v>100</v>
      </c>
      <c r="F306">
        <v>80</v>
      </c>
      <c r="G306">
        <v>20</v>
      </c>
      <c r="H306" s="12" t="s">
        <v>443</v>
      </c>
    </row>
    <row r="307" spans="1:8" x14ac:dyDescent="0.45">
      <c r="A307" s="3">
        <v>46165</v>
      </c>
      <c r="B307" s="12" t="s">
        <v>450</v>
      </c>
      <c r="C307" s="12" t="s">
        <v>23</v>
      </c>
      <c r="D307">
        <v>7</v>
      </c>
      <c r="E307">
        <v>90</v>
      </c>
      <c r="F307">
        <v>90</v>
      </c>
      <c r="G307">
        <v>0</v>
      </c>
      <c r="H307" s="12" t="s">
        <v>7</v>
      </c>
    </row>
    <row r="308" spans="1:8" x14ac:dyDescent="0.45">
      <c r="A308" s="3">
        <v>46036</v>
      </c>
      <c r="B308" s="12" t="s">
        <v>451</v>
      </c>
      <c r="C308" s="12" t="s">
        <v>24</v>
      </c>
      <c r="D308">
        <v>12</v>
      </c>
      <c r="E308">
        <v>120</v>
      </c>
      <c r="F308">
        <v>120</v>
      </c>
      <c r="G308">
        <v>0</v>
      </c>
      <c r="H308" s="12" t="s">
        <v>7</v>
      </c>
    </row>
    <row r="309" spans="1:8" x14ac:dyDescent="0.45">
      <c r="A309" s="3">
        <v>46115</v>
      </c>
      <c r="B309" s="12" t="s">
        <v>452</v>
      </c>
      <c r="C309" s="12" t="s">
        <v>15</v>
      </c>
      <c r="D309">
        <v>6</v>
      </c>
      <c r="E309">
        <v>90</v>
      </c>
      <c r="F309">
        <v>60</v>
      </c>
      <c r="G309">
        <v>30</v>
      </c>
      <c r="H309" s="12" t="s">
        <v>453</v>
      </c>
    </row>
    <row r="310" spans="1:8" x14ac:dyDescent="0.45">
      <c r="A310" s="3">
        <v>46026</v>
      </c>
      <c r="B310" s="12" t="s">
        <v>454</v>
      </c>
      <c r="C310" s="12" t="s">
        <v>22</v>
      </c>
      <c r="D310">
        <v>11</v>
      </c>
      <c r="E310">
        <v>120</v>
      </c>
      <c r="F310">
        <v>90</v>
      </c>
      <c r="G310">
        <v>30</v>
      </c>
      <c r="H310" s="12" t="s">
        <v>312</v>
      </c>
    </row>
    <row r="311" spans="1:8" x14ac:dyDescent="0.45">
      <c r="A311" s="3">
        <v>46058</v>
      </c>
      <c r="B311" s="12" t="s">
        <v>455</v>
      </c>
      <c r="C311" s="12" t="s">
        <v>16</v>
      </c>
      <c r="D311">
        <v>12</v>
      </c>
      <c r="E311">
        <v>120</v>
      </c>
      <c r="F311">
        <v>80</v>
      </c>
      <c r="G311">
        <v>40</v>
      </c>
      <c r="H311" s="12" t="s">
        <v>47</v>
      </c>
    </row>
    <row r="312" spans="1:8" x14ac:dyDescent="0.45">
      <c r="A312" s="3">
        <v>46133</v>
      </c>
      <c r="B312" s="12" t="s">
        <v>456</v>
      </c>
      <c r="C312" s="12" t="s">
        <v>25</v>
      </c>
      <c r="D312">
        <v>14</v>
      </c>
      <c r="E312">
        <v>100</v>
      </c>
      <c r="F312">
        <v>60</v>
      </c>
      <c r="G312">
        <v>40</v>
      </c>
      <c r="H312" s="12" t="s">
        <v>457</v>
      </c>
    </row>
    <row r="313" spans="1:8" x14ac:dyDescent="0.45">
      <c r="A313" s="3">
        <v>46103</v>
      </c>
      <c r="B313" s="12" t="s">
        <v>458</v>
      </c>
      <c r="C313" s="12" t="s">
        <v>12</v>
      </c>
      <c r="D313">
        <v>11</v>
      </c>
      <c r="E313">
        <v>100</v>
      </c>
      <c r="F313">
        <v>70</v>
      </c>
      <c r="G313">
        <v>30</v>
      </c>
      <c r="H313" s="12" t="s">
        <v>453</v>
      </c>
    </row>
    <row r="314" spans="1:8" x14ac:dyDescent="0.45">
      <c r="A314" s="3">
        <v>46066</v>
      </c>
      <c r="B314" s="12" t="s">
        <v>459</v>
      </c>
      <c r="C314" s="12" t="s">
        <v>22</v>
      </c>
      <c r="D314">
        <v>15</v>
      </c>
      <c r="E314">
        <v>120</v>
      </c>
      <c r="F314">
        <v>90</v>
      </c>
      <c r="G314">
        <v>30</v>
      </c>
      <c r="H314" s="12" t="s">
        <v>54</v>
      </c>
    </row>
    <row r="315" spans="1:8" x14ac:dyDescent="0.45">
      <c r="A315" s="3">
        <v>46048</v>
      </c>
      <c r="B315" s="12" t="s">
        <v>460</v>
      </c>
      <c r="C315" s="12" t="s">
        <v>10</v>
      </c>
      <c r="D315">
        <v>15</v>
      </c>
      <c r="E315">
        <v>70</v>
      </c>
      <c r="F315">
        <v>70</v>
      </c>
      <c r="G315">
        <v>0</v>
      </c>
      <c r="H315" s="12" t="s">
        <v>7</v>
      </c>
    </row>
    <row r="316" spans="1:8" x14ac:dyDescent="0.45">
      <c r="A316" s="3">
        <v>46249</v>
      </c>
      <c r="B316" s="12" t="s">
        <v>461</v>
      </c>
      <c r="C316" s="12" t="s">
        <v>25</v>
      </c>
      <c r="D316">
        <v>10</v>
      </c>
      <c r="E316">
        <v>100</v>
      </c>
      <c r="F316">
        <v>100</v>
      </c>
      <c r="G316">
        <v>0</v>
      </c>
      <c r="H316" s="12" t="s">
        <v>7</v>
      </c>
    </row>
    <row r="317" spans="1:8" x14ac:dyDescent="0.45">
      <c r="A317" s="3">
        <v>46249</v>
      </c>
      <c r="B317" s="12" t="s">
        <v>462</v>
      </c>
      <c r="C317" s="12" t="s">
        <v>14</v>
      </c>
      <c r="D317">
        <v>13</v>
      </c>
      <c r="E317">
        <v>120</v>
      </c>
      <c r="F317">
        <v>100</v>
      </c>
      <c r="G317">
        <v>20</v>
      </c>
      <c r="H317" s="12" t="s">
        <v>69</v>
      </c>
    </row>
    <row r="318" spans="1:8" x14ac:dyDescent="0.45">
      <c r="A318" s="3">
        <v>46081</v>
      </c>
      <c r="B318" s="12" t="s">
        <v>463</v>
      </c>
      <c r="C318" s="12" t="s">
        <v>6</v>
      </c>
      <c r="D318">
        <v>14</v>
      </c>
      <c r="E318">
        <v>90</v>
      </c>
      <c r="F318">
        <v>60</v>
      </c>
      <c r="G318">
        <v>30</v>
      </c>
      <c r="H318" s="12" t="s">
        <v>117</v>
      </c>
    </row>
    <row r="319" spans="1:8" x14ac:dyDescent="0.45">
      <c r="A319" s="3">
        <v>46272</v>
      </c>
      <c r="B319" s="12" t="s">
        <v>464</v>
      </c>
      <c r="C319" s="12" t="s">
        <v>9</v>
      </c>
      <c r="D319">
        <v>10</v>
      </c>
      <c r="E319">
        <v>90</v>
      </c>
      <c r="F319">
        <v>90</v>
      </c>
      <c r="G319">
        <v>0</v>
      </c>
      <c r="H319" s="12" t="s">
        <v>7</v>
      </c>
    </row>
    <row r="320" spans="1:8" x14ac:dyDescent="0.45">
      <c r="A320" s="3">
        <v>46135</v>
      </c>
      <c r="B320" s="12" t="s">
        <v>465</v>
      </c>
      <c r="C320" s="12" t="s">
        <v>26</v>
      </c>
      <c r="D320">
        <v>6</v>
      </c>
      <c r="E320">
        <v>80</v>
      </c>
      <c r="F320">
        <v>40</v>
      </c>
      <c r="G320">
        <v>40</v>
      </c>
      <c r="H320" s="12" t="s">
        <v>363</v>
      </c>
    </row>
    <row r="321" spans="1:8" x14ac:dyDescent="0.45">
      <c r="A321" s="3">
        <v>46177</v>
      </c>
      <c r="B321" s="12" t="s">
        <v>466</v>
      </c>
      <c r="C321" s="12" t="s">
        <v>20</v>
      </c>
      <c r="D321">
        <v>9</v>
      </c>
      <c r="E321">
        <v>90</v>
      </c>
      <c r="F321">
        <v>50</v>
      </c>
      <c r="G321">
        <v>40</v>
      </c>
      <c r="H321" s="12" t="s">
        <v>467</v>
      </c>
    </row>
    <row r="322" spans="1:8" x14ac:dyDescent="0.45">
      <c r="A322" s="3">
        <v>46190</v>
      </c>
      <c r="B322" s="12" t="s">
        <v>468</v>
      </c>
      <c r="C322" s="12" t="s">
        <v>15</v>
      </c>
      <c r="D322">
        <v>10</v>
      </c>
      <c r="E322">
        <v>90</v>
      </c>
      <c r="F322">
        <v>60</v>
      </c>
      <c r="G322">
        <v>30</v>
      </c>
      <c r="H322" s="12" t="s">
        <v>469</v>
      </c>
    </row>
    <row r="323" spans="1:8" x14ac:dyDescent="0.45">
      <c r="A323" s="3">
        <v>46112</v>
      </c>
      <c r="B323" s="12" t="s">
        <v>470</v>
      </c>
      <c r="C323" s="12" t="s">
        <v>19</v>
      </c>
      <c r="D323">
        <v>12</v>
      </c>
      <c r="E323">
        <v>100</v>
      </c>
      <c r="F323">
        <v>80</v>
      </c>
      <c r="G323">
        <v>20</v>
      </c>
      <c r="H323" s="12" t="s">
        <v>56</v>
      </c>
    </row>
    <row r="324" spans="1:8" x14ac:dyDescent="0.45">
      <c r="A324" s="3">
        <v>46279</v>
      </c>
      <c r="B324" s="12" t="s">
        <v>471</v>
      </c>
      <c r="C324" s="12" t="s">
        <v>17</v>
      </c>
      <c r="D324">
        <v>9</v>
      </c>
      <c r="E324">
        <v>80</v>
      </c>
      <c r="F324">
        <v>80</v>
      </c>
      <c r="G324">
        <v>0</v>
      </c>
      <c r="H324" s="12" t="s">
        <v>7</v>
      </c>
    </row>
    <row r="325" spans="1:8" x14ac:dyDescent="0.45">
      <c r="A325" s="3">
        <v>46226</v>
      </c>
      <c r="B325" s="12" t="s">
        <v>472</v>
      </c>
      <c r="C325" s="12" t="s">
        <v>23</v>
      </c>
      <c r="D325">
        <v>7</v>
      </c>
      <c r="E325">
        <v>90</v>
      </c>
      <c r="F325">
        <v>90</v>
      </c>
      <c r="G325">
        <v>0</v>
      </c>
      <c r="H325" s="12" t="s">
        <v>7</v>
      </c>
    </row>
    <row r="326" spans="1:8" x14ac:dyDescent="0.45">
      <c r="A326" s="3">
        <v>46032</v>
      </c>
      <c r="B326" s="12" t="s">
        <v>473</v>
      </c>
      <c r="C326" s="12" t="s">
        <v>27</v>
      </c>
      <c r="D326">
        <v>12</v>
      </c>
      <c r="E326">
        <v>90</v>
      </c>
      <c r="F326">
        <v>50</v>
      </c>
      <c r="G326">
        <v>40</v>
      </c>
      <c r="H326" s="12" t="s">
        <v>169</v>
      </c>
    </row>
    <row r="327" spans="1:8" x14ac:dyDescent="0.45">
      <c r="A327" s="3">
        <v>46242</v>
      </c>
      <c r="B327" s="12" t="s">
        <v>474</v>
      </c>
      <c r="C327" s="12" t="s">
        <v>22</v>
      </c>
      <c r="D327">
        <v>15</v>
      </c>
      <c r="E327">
        <v>120</v>
      </c>
      <c r="F327">
        <v>120</v>
      </c>
      <c r="G327">
        <v>0</v>
      </c>
      <c r="H327" s="12" t="s">
        <v>7</v>
      </c>
    </row>
    <row r="328" spans="1:8" x14ac:dyDescent="0.45">
      <c r="A328" s="3">
        <v>46171</v>
      </c>
      <c r="B328" s="12" t="s">
        <v>475</v>
      </c>
      <c r="C328" s="12" t="s">
        <v>13</v>
      </c>
      <c r="D328">
        <v>12</v>
      </c>
      <c r="E328">
        <v>90</v>
      </c>
      <c r="F328">
        <v>60</v>
      </c>
      <c r="G328">
        <v>30</v>
      </c>
      <c r="H328" s="12" t="s">
        <v>476</v>
      </c>
    </row>
    <row r="329" spans="1:8" x14ac:dyDescent="0.45">
      <c r="A329" s="3">
        <v>46110</v>
      </c>
      <c r="B329" s="12" t="s">
        <v>477</v>
      </c>
      <c r="C329" s="12" t="s">
        <v>20</v>
      </c>
      <c r="D329">
        <v>11</v>
      </c>
      <c r="E329">
        <v>90</v>
      </c>
      <c r="F329">
        <v>90</v>
      </c>
      <c r="G329">
        <v>0</v>
      </c>
      <c r="H329" s="12" t="s">
        <v>7</v>
      </c>
    </row>
    <row r="330" spans="1:8" x14ac:dyDescent="0.45">
      <c r="A330" s="3">
        <v>46068</v>
      </c>
      <c r="B330" s="12" t="s">
        <v>478</v>
      </c>
      <c r="C330" s="12" t="s">
        <v>12</v>
      </c>
      <c r="D330">
        <v>11</v>
      </c>
      <c r="E330">
        <v>100</v>
      </c>
      <c r="F330">
        <v>70</v>
      </c>
      <c r="G330">
        <v>30</v>
      </c>
      <c r="H330" s="12" t="s">
        <v>181</v>
      </c>
    </row>
    <row r="331" spans="1:8" x14ac:dyDescent="0.45">
      <c r="A331" s="3">
        <v>46228</v>
      </c>
      <c r="B331" s="12" t="s">
        <v>479</v>
      </c>
      <c r="C331" s="12" t="s">
        <v>24</v>
      </c>
      <c r="D331">
        <v>12</v>
      </c>
      <c r="E331">
        <v>120</v>
      </c>
      <c r="F331">
        <v>120</v>
      </c>
      <c r="G331">
        <v>0</v>
      </c>
      <c r="H331" s="12" t="s">
        <v>7</v>
      </c>
    </row>
    <row r="332" spans="1:8" x14ac:dyDescent="0.45">
      <c r="A332" s="3">
        <v>46181</v>
      </c>
      <c r="B332" s="12" t="s">
        <v>480</v>
      </c>
      <c r="C332" s="12" t="s">
        <v>25</v>
      </c>
      <c r="D332">
        <v>12</v>
      </c>
      <c r="E332">
        <v>100</v>
      </c>
      <c r="F332">
        <v>100</v>
      </c>
      <c r="G332">
        <v>0</v>
      </c>
      <c r="H332" s="12" t="s">
        <v>7</v>
      </c>
    </row>
    <row r="333" spans="1:8" x14ac:dyDescent="0.45">
      <c r="A333" s="3">
        <v>46193</v>
      </c>
      <c r="B333" s="12" t="s">
        <v>481</v>
      </c>
      <c r="C333" s="12" t="s">
        <v>22</v>
      </c>
      <c r="D333">
        <v>9</v>
      </c>
      <c r="E333">
        <v>120</v>
      </c>
      <c r="F333">
        <v>120</v>
      </c>
      <c r="G333">
        <v>0</v>
      </c>
      <c r="H333" s="12" t="s">
        <v>7</v>
      </c>
    </row>
    <row r="334" spans="1:8" x14ac:dyDescent="0.45">
      <c r="A334" s="3">
        <v>46284</v>
      </c>
      <c r="B334" s="12" t="s">
        <v>482</v>
      </c>
      <c r="C334" s="12" t="s">
        <v>10</v>
      </c>
      <c r="D334">
        <v>7</v>
      </c>
      <c r="E334">
        <v>70</v>
      </c>
      <c r="F334">
        <v>70</v>
      </c>
      <c r="G334">
        <v>0</v>
      </c>
      <c r="H334" s="12" t="s">
        <v>7</v>
      </c>
    </row>
    <row r="335" spans="1:8" x14ac:dyDescent="0.45">
      <c r="A335" s="3">
        <v>46284</v>
      </c>
      <c r="B335" s="12" t="s">
        <v>483</v>
      </c>
      <c r="C335" s="12" t="s">
        <v>9</v>
      </c>
      <c r="D335">
        <v>14</v>
      </c>
      <c r="E335">
        <v>90</v>
      </c>
      <c r="F335">
        <v>60</v>
      </c>
      <c r="G335">
        <v>30</v>
      </c>
      <c r="H335" s="12" t="s">
        <v>152</v>
      </c>
    </row>
    <row r="336" spans="1:8" x14ac:dyDescent="0.45">
      <c r="A336" s="3">
        <v>46143</v>
      </c>
      <c r="B336" s="12" t="s">
        <v>484</v>
      </c>
      <c r="C336" s="12" t="s">
        <v>23</v>
      </c>
      <c r="D336">
        <v>8</v>
      </c>
      <c r="E336">
        <v>90</v>
      </c>
      <c r="F336">
        <v>60</v>
      </c>
      <c r="G336">
        <v>30</v>
      </c>
      <c r="H336" s="12" t="s">
        <v>365</v>
      </c>
    </row>
    <row r="337" spans="1:8" x14ac:dyDescent="0.45">
      <c r="A337" s="3">
        <v>46111</v>
      </c>
      <c r="B337" s="12" t="s">
        <v>485</v>
      </c>
      <c r="C337" s="12" t="s">
        <v>15</v>
      </c>
      <c r="D337">
        <v>9</v>
      </c>
      <c r="E337">
        <v>90</v>
      </c>
      <c r="F337">
        <v>90</v>
      </c>
      <c r="G337">
        <v>0</v>
      </c>
      <c r="H337" s="12" t="s">
        <v>7</v>
      </c>
    </row>
    <row r="338" spans="1:8" x14ac:dyDescent="0.45">
      <c r="A338" s="3">
        <v>46113</v>
      </c>
      <c r="B338" s="12" t="s">
        <v>486</v>
      </c>
      <c r="C338" s="12" t="s">
        <v>18</v>
      </c>
      <c r="D338">
        <v>7</v>
      </c>
      <c r="E338">
        <v>90</v>
      </c>
      <c r="F338">
        <v>90</v>
      </c>
      <c r="G338">
        <v>0</v>
      </c>
      <c r="H338" s="12" t="s">
        <v>7</v>
      </c>
    </row>
    <row r="339" spans="1:8" x14ac:dyDescent="0.45">
      <c r="A339" s="3">
        <v>46260</v>
      </c>
      <c r="B339" s="12" t="s">
        <v>487</v>
      </c>
      <c r="C339" s="12" t="s">
        <v>21</v>
      </c>
      <c r="D339">
        <v>13</v>
      </c>
      <c r="E339">
        <v>100</v>
      </c>
      <c r="F339">
        <v>100</v>
      </c>
      <c r="G339">
        <v>0</v>
      </c>
      <c r="H339" s="12" t="s">
        <v>7</v>
      </c>
    </row>
    <row r="340" spans="1:8" x14ac:dyDescent="0.45">
      <c r="A340" s="3">
        <v>46252</v>
      </c>
      <c r="B340" s="12" t="s">
        <v>488</v>
      </c>
      <c r="C340" s="12" t="s">
        <v>16</v>
      </c>
      <c r="D340">
        <v>15</v>
      </c>
      <c r="E340">
        <v>120</v>
      </c>
      <c r="F340">
        <v>120</v>
      </c>
      <c r="G340">
        <v>0</v>
      </c>
      <c r="H340" s="12" t="s">
        <v>7</v>
      </c>
    </row>
    <row r="341" spans="1:8" x14ac:dyDescent="0.45">
      <c r="A341" s="3">
        <v>46188</v>
      </c>
      <c r="B341" s="12" t="s">
        <v>489</v>
      </c>
      <c r="C341" s="12" t="s">
        <v>16</v>
      </c>
      <c r="D341">
        <v>15</v>
      </c>
      <c r="E341">
        <v>120</v>
      </c>
      <c r="F341">
        <v>120</v>
      </c>
      <c r="G341">
        <v>0</v>
      </c>
      <c r="H341" s="12" t="s">
        <v>7</v>
      </c>
    </row>
    <row r="342" spans="1:8" x14ac:dyDescent="0.45">
      <c r="A342" s="3">
        <v>46248</v>
      </c>
      <c r="B342" s="12" t="s">
        <v>490</v>
      </c>
      <c r="C342" s="12" t="s">
        <v>22</v>
      </c>
      <c r="D342">
        <v>8</v>
      </c>
      <c r="E342">
        <v>120</v>
      </c>
      <c r="F342">
        <v>90</v>
      </c>
      <c r="G342">
        <v>30</v>
      </c>
      <c r="H342" s="12" t="s">
        <v>491</v>
      </c>
    </row>
    <row r="343" spans="1:8" x14ac:dyDescent="0.45">
      <c r="A343" s="3">
        <v>46163</v>
      </c>
      <c r="B343" s="12" t="s">
        <v>492</v>
      </c>
      <c r="C343" s="12" t="s">
        <v>12</v>
      </c>
      <c r="D343">
        <v>10</v>
      </c>
      <c r="E343">
        <v>100</v>
      </c>
      <c r="F343">
        <v>100</v>
      </c>
      <c r="G343">
        <v>0</v>
      </c>
      <c r="H343" s="12" t="s">
        <v>7</v>
      </c>
    </row>
    <row r="344" spans="1:8" x14ac:dyDescent="0.45">
      <c r="A344" s="3">
        <v>46282</v>
      </c>
      <c r="B344" s="12" t="s">
        <v>493</v>
      </c>
      <c r="C344" s="12" t="s">
        <v>27</v>
      </c>
      <c r="D344">
        <v>11</v>
      </c>
      <c r="E344">
        <v>90</v>
      </c>
      <c r="F344">
        <v>50</v>
      </c>
      <c r="G344">
        <v>40</v>
      </c>
      <c r="H344" s="12" t="s">
        <v>453</v>
      </c>
    </row>
    <row r="345" spans="1:8" x14ac:dyDescent="0.45">
      <c r="A345" s="3">
        <v>46042</v>
      </c>
      <c r="B345" s="12" t="s">
        <v>494</v>
      </c>
      <c r="C345" s="12" t="s">
        <v>12</v>
      </c>
      <c r="D345">
        <v>13</v>
      </c>
      <c r="E345">
        <v>100</v>
      </c>
      <c r="F345">
        <v>70</v>
      </c>
      <c r="G345">
        <v>30</v>
      </c>
      <c r="H345" s="12" t="s">
        <v>394</v>
      </c>
    </row>
    <row r="346" spans="1:8" x14ac:dyDescent="0.45">
      <c r="A346" s="3">
        <v>46069</v>
      </c>
      <c r="B346" s="12" t="s">
        <v>495</v>
      </c>
      <c r="C346" s="12" t="s">
        <v>26</v>
      </c>
      <c r="D346">
        <v>7</v>
      </c>
      <c r="E346">
        <v>80</v>
      </c>
      <c r="F346">
        <v>80</v>
      </c>
      <c r="G346">
        <v>0</v>
      </c>
      <c r="H346" s="12" t="s">
        <v>7</v>
      </c>
    </row>
    <row r="347" spans="1:8" x14ac:dyDescent="0.45">
      <c r="A347" s="3">
        <v>46219</v>
      </c>
      <c r="B347" s="12" t="s">
        <v>496</v>
      </c>
      <c r="C347" s="12" t="s">
        <v>8</v>
      </c>
      <c r="D347">
        <v>14</v>
      </c>
      <c r="E347">
        <v>120</v>
      </c>
      <c r="F347">
        <v>80</v>
      </c>
      <c r="G347">
        <v>40</v>
      </c>
      <c r="H347" s="12" t="s">
        <v>497</v>
      </c>
    </row>
    <row r="348" spans="1:8" x14ac:dyDescent="0.45">
      <c r="A348" s="3">
        <v>46253</v>
      </c>
      <c r="B348" s="12" t="s">
        <v>498</v>
      </c>
      <c r="C348" s="12" t="s">
        <v>17</v>
      </c>
      <c r="D348">
        <v>6</v>
      </c>
      <c r="E348">
        <v>80</v>
      </c>
      <c r="F348">
        <v>80</v>
      </c>
      <c r="G348">
        <v>0</v>
      </c>
      <c r="H348" s="12" t="s">
        <v>7</v>
      </c>
    </row>
    <row r="349" spans="1:8" x14ac:dyDescent="0.45">
      <c r="A349" s="3">
        <v>46187</v>
      </c>
      <c r="B349" s="12" t="s">
        <v>499</v>
      </c>
      <c r="C349" s="12" t="s">
        <v>21</v>
      </c>
      <c r="D349">
        <v>9</v>
      </c>
      <c r="E349">
        <v>100</v>
      </c>
      <c r="F349">
        <v>100</v>
      </c>
      <c r="G349">
        <v>0</v>
      </c>
      <c r="H349" s="12" t="s">
        <v>7</v>
      </c>
    </row>
    <row r="350" spans="1:8" x14ac:dyDescent="0.45">
      <c r="A350" s="3">
        <v>46100</v>
      </c>
      <c r="B350" s="12" t="s">
        <v>500</v>
      </c>
      <c r="C350" s="12" t="s">
        <v>19</v>
      </c>
      <c r="D350">
        <v>14</v>
      </c>
      <c r="E350">
        <v>100</v>
      </c>
      <c r="F350">
        <v>80</v>
      </c>
      <c r="G350">
        <v>20</v>
      </c>
      <c r="H350" s="12" t="s">
        <v>307</v>
      </c>
    </row>
    <row r="351" spans="1:8" x14ac:dyDescent="0.45">
      <c r="A351" s="3">
        <v>46066</v>
      </c>
      <c r="B351" s="12" t="s">
        <v>501</v>
      </c>
      <c r="C351" s="12" t="s">
        <v>9</v>
      </c>
      <c r="D351">
        <v>11</v>
      </c>
      <c r="E351">
        <v>90</v>
      </c>
      <c r="F351">
        <v>90</v>
      </c>
      <c r="G351">
        <v>0</v>
      </c>
      <c r="H351" s="12" t="s">
        <v>7</v>
      </c>
    </row>
    <row r="352" spans="1:8" x14ac:dyDescent="0.45">
      <c r="A352" s="3">
        <v>46043</v>
      </c>
      <c r="B352" s="12" t="s">
        <v>502</v>
      </c>
      <c r="C352" s="12" t="s">
        <v>21</v>
      </c>
      <c r="D352">
        <v>8</v>
      </c>
      <c r="E352">
        <v>100</v>
      </c>
      <c r="F352">
        <v>70</v>
      </c>
      <c r="G352">
        <v>30</v>
      </c>
      <c r="H352" s="12" t="s">
        <v>385</v>
      </c>
    </row>
    <row r="353" spans="1:8" x14ac:dyDescent="0.45">
      <c r="A353" s="3">
        <v>46290</v>
      </c>
      <c r="B353" s="12" t="s">
        <v>503</v>
      </c>
      <c r="C353" s="12" t="s">
        <v>12</v>
      </c>
      <c r="D353">
        <v>14</v>
      </c>
      <c r="E353">
        <v>100</v>
      </c>
      <c r="F353">
        <v>100</v>
      </c>
      <c r="G353">
        <v>0</v>
      </c>
      <c r="H353" s="12" t="s">
        <v>7</v>
      </c>
    </row>
    <row r="354" spans="1:8" x14ac:dyDescent="0.45">
      <c r="A354" s="3">
        <v>46213</v>
      </c>
      <c r="B354" s="12" t="s">
        <v>504</v>
      </c>
      <c r="C354" s="12" t="s">
        <v>10</v>
      </c>
      <c r="D354">
        <v>11</v>
      </c>
      <c r="E354">
        <v>70</v>
      </c>
      <c r="F354">
        <v>30</v>
      </c>
      <c r="G354">
        <v>40</v>
      </c>
      <c r="H354" s="12" t="s">
        <v>505</v>
      </c>
    </row>
    <row r="355" spans="1:8" x14ac:dyDescent="0.45">
      <c r="A355" s="3">
        <v>46049</v>
      </c>
      <c r="B355" s="12" t="s">
        <v>506</v>
      </c>
      <c r="C355" s="12" t="s">
        <v>14</v>
      </c>
      <c r="D355">
        <v>11</v>
      </c>
      <c r="E355">
        <v>120</v>
      </c>
      <c r="F355">
        <v>120</v>
      </c>
      <c r="G355">
        <v>0</v>
      </c>
      <c r="H355" s="12" t="s">
        <v>7</v>
      </c>
    </row>
    <row r="356" spans="1:8" x14ac:dyDescent="0.45">
      <c r="A356" s="3">
        <v>46056</v>
      </c>
      <c r="B356" s="12" t="s">
        <v>507</v>
      </c>
      <c r="C356" s="12" t="s">
        <v>21</v>
      </c>
      <c r="D356">
        <v>11</v>
      </c>
      <c r="E356">
        <v>100</v>
      </c>
      <c r="F356">
        <v>70</v>
      </c>
      <c r="G356">
        <v>30</v>
      </c>
      <c r="H356" s="12" t="s">
        <v>402</v>
      </c>
    </row>
    <row r="357" spans="1:8" x14ac:dyDescent="0.45">
      <c r="A357" s="3">
        <v>46168</v>
      </c>
      <c r="B357" s="12" t="s">
        <v>508</v>
      </c>
      <c r="C357" s="12" t="s">
        <v>17</v>
      </c>
      <c r="D357">
        <v>12</v>
      </c>
      <c r="E357">
        <v>80</v>
      </c>
      <c r="F357">
        <v>50</v>
      </c>
      <c r="G357">
        <v>30</v>
      </c>
      <c r="H357" s="12" t="s">
        <v>296</v>
      </c>
    </row>
    <row r="358" spans="1:8" x14ac:dyDescent="0.45">
      <c r="A358" s="3">
        <v>46095</v>
      </c>
      <c r="B358" s="12" t="s">
        <v>509</v>
      </c>
      <c r="C358" s="12" t="s">
        <v>22</v>
      </c>
      <c r="D358">
        <v>7</v>
      </c>
      <c r="E358">
        <v>120</v>
      </c>
      <c r="F358">
        <v>90</v>
      </c>
      <c r="G358">
        <v>30</v>
      </c>
      <c r="H358" s="12" t="s">
        <v>453</v>
      </c>
    </row>
    <row r="359" spans="1:8" x14ac:dyDescent="0.45">
      <c r="A359" s="3">
        <v>46089</v>
      </c>
      <c r="B359" s="12" t="s">
        <v>510</v>
      </c>
      <c r="C359" s="12" t="s">
        <v>21</v>
      </c>
      <c r="D359">
        <v>12</v>
      </c>
      <c r="E359">
        <v>100</v>
      </c>
      <c r="F359">
        <v>100</v>
      </c>
      <c r="G359">
        <v>0</v>
      </c>
      <c r="H359" s="12" t="s">
        <v>7</v>
      </c>
    </row>
    <row r="360" spans="1:8" x14ac:dyDescent="0.45">
      <c r="A360" s="3">
        <v>46215</v>
      </c>
      <c r="B360" s="12" t="s">
        <v>511</v>
      </c>
      <c r="C360" s="12" t="s">
        <v>25</v>
      </c>
      <c r="D360">
        <v>10</v>
      </c>
      <c r="E360">
        <v>100</v>
      </c>
      <c r="F360">
        <v>100</v>
      </c>
      <c r="G360">
        <v>0</v>
      </c>
      <c r="H360" s="12" t="s">
        <v>7</v>
      </c>
    </row>
    <row r="361" spans="1:8" x14ac:dyDescent="0.45">
      <c r="A361" s="3">
        <v>46292</v>
      </c>
      <c r="B361" s="12" t="s">
        <v>512</v>
      </c>
      <c r="C361" s="12" t="s">
        <v>22</v>
      </c>
      <c r="D361">
        <v>8</v>
      </c>
      <c r="E361">
        <v>120</v>
      </c>
      <c r="F361">
        <v>90</v>
      </c>
      <c r="G361">
        <v>30</v>
      </c>
      <c r="H361" s="12" t="s">
        <v>513</v>
      </c>
    </row>
    <row r="362" spans="1:8" x14ac:dyDescent="0.45">
      <c r="A362" s="3">
        <v>46032</v>
      </c>
      <c r="B362" s="12" t="s">
        <v>514</v>
      </c>
      <c r="C362" s="12" t="s">
        <v>11</v>
      </c>
      <c r="D362">
        <v>11</v>
      </c>
      <c r="E362">
        <v>90</v>
      </c>
      <c r="F362">
        <v>70</v>
      </c>
      <c r="G362">
        <v>20</v>
      </c>
      <c r="H362" s="12" t="s">
        <v>453</v>
      </c>
    </row>
    <row r="363" spans="1:8" x14ac:dyDescent="0.45">
      <c r="A363" s="3">
        <v>46197</v>
      </c>
      <c r="B363" s="12" t="s">
        <v>515</v>
      </c>
      <c r="C363" s="12" t="s">
        <v>10</v>
      </c>
      <c r="D363">
        <v>9</v>
      </c>
      <c r="E363">
        <v>70</v>
      </c>
      <c r="F363">
        <v>70</v>
      </c>
      <c r="G363">
        <v>0</v>
      </c>
      <c r="H363" s="12" t="s">
        <v>7</v>
      </c>
    </row>
    <row r="364" spans="1:8" x14ac:dyDescent="0.45">
      <c r="A364" s="3">
        <v>46138</v>
      </c>
      <c r="B364" s="12" t="s">
        <v>516</v>
      </c>
      <c r="C364" s="12" t="s">
        <v>19</v>
      </c>
      <c r="D364">
        <v>9</v>
      </c>
      <c r="E364">
        <v>100</v>
      </c>
      <c r="F364">
        <v>80</v>
      </c>
      <c r="G364">
        <v>20</v>
      </c>
      <c r="H364" s="12" t="s">
        <v>54</v>
      </c>
    </row>
    <row r="365" spans="1:8" x14ac:dyDescent="0.45">
      <c r="A365" s="3">
        <v>46074</v>
      </c>
      <c r="B365" s="12" t="s">
        <v>517</v>
      </c>
      <c r="C365" s="12" t="s">
        <v>25</v>
      </c>
      <c r="D365">
        <v>10</v>
      </c>
      <c r="E365">
        <v>100</v>
      </c>
      <c r="F365">
        <v>100</v>
      </c>
      <c r="G365">
        <v>0</v>
      </c>
      <c r="H365" s="12" t="s">
        <v>7</v>
      </c>
    </row>
    <row r="366" spans="1:8" x14ac:dyDescent="0.45">
      <c r="A366" s="3">
        <v>46042</v>
      </c>
      <c r="B366" s="12" t="s">
        <v>518</v>
      </c>
      <c r="C366" s="12" t="s">
        <v>17</v>
      </c>
      <c r="D366">
        <v>14</v>
      </c>
      <c r="E366">
        <v>80</v>
      </c>
      <c r="F366">
        <v>80</v>
      </c>
      <c r="G366">
        <v>0</v>
      </c>
      <c r="H366" s="12" t="s">
        <v>7</v>
      </c>
    </row>
    <row r="367" spans="1:8" x14ac:dyDescent="0.45">
      <c r="A367" s="3">
        <v>46090</v>
      </c>
      <c r="B367" s="12" t="s">
        <v>519</v>
      </c>
      <c r="C367" s="12" t="s">
        <v>22</v>
      </c>
      <c r="D367">
        <v>15</v>
      </c>
      <c r="E367">
        <v>120</v>
      </c>
      <c r="F367">
        <v>120</v>
      </c>
      <c r="G367">
        <v>0</v>
      </c>
      <c r="H367" s="12" t="s">
        <v>7</v>
      </c>
    </row>
    <row r="368" spans="1:8" x14ac:dyDescent="0.45">
      <c r="A368" s="3">
        <v>46106</v>
      </c>
      <c r="B368" s="12" t="s">
        <v>520</v>
      </c>
      <c r="C368" s="12" t="s">
        <v>13</v>
      </c>
      <c r="D368">
        <v>8</v>
      </c>
      <c r="E368">
        <v>90</v>
      </c>
      <c r="F368">
        <v>60</v>
      </c>
      <c r="G368">
        <v>30</v>
      </c>
      <c r="H368" s="12" t="s">
        <v>361</v>
      </c>
    </row>
    <row r="369" spans="1:8" x14ac:dyDescent="0.45">
      <c r="A369" s="3">
        <v>46233</v>
      </c>
      <c r="B369" s="12" t="s">
        <v>521</v>
      </c>
      <c r="C369" s="12" t="s">
        <v>12</v>
      </c>
      <c r="D369">
        <v>6</v>
      </c>
      <c r="E369">
        <v>100</v>
      </c>
      <c r="F369">
        <v>70</v>
      </c>
      <c r="G369">
        <v>30</v>
      </c>
      <c r="H369" s="12" t="s">
        <v>128</v>
      </c>
    </row>
    <row r="370" spans="1:8" x14ac:dyDescent="0.45">
      <c r="A370" s="3">
        <v>46168</v>
      </c>
      <c r="B370" s="12" t="s">
        <v>522</v>
      </c>
      <c r="C370" s="12" t="s">
        <v>12</v>
      </c>
      <c r="D370">
        <v>15</v>
      </c>
      <c r="E370">
        <v>100</v>
      </c>
      <c r="F370">
        <v>100</v>
      </c>
      <c r="G370">
        <v>0</v>
      </c>
      <c r="H370" s="12" t="s">
        <v>7</v>
      </c>
    </row>
    <row r="371" spans="1:8" x14ac:dyDescent="0.45">
      <c r="A371" s="3">
        <v>46145</v>
      </c>
      <c r="B371" s="12" t="s">
        <v>523</v>
      </c>
      <c r="C371" s="12" t="s">
        <v>12</v>
      </c>
      <c r="D371">
        <v>9</v>
      </c>
      <c r="E371">
        <v>100</v>
      </c>
      <c r="F371">
        <v>70</v>
      </c>
      <c r="G371">
        <v>30</v>
      </c>
      <c r="H371" s="12" t="s">
        <v>491</v>
      </c>
    </row>
    <row r="372" spans="1:8" x14ac:dyDescent="0.45">
      <c r="A372" s="3">
        <v>46248</v>
      </c>
      <c r="B372" s="12" t="s">
        <v>524</v>
      </c>
      <c r="C372" s="12" t="s">
        <v>6</v>
      </c>
      <c r="D372">
        <v>11</v>
      </c>
      <c r="E372">
        <v>90</v>
      </c>
      <c r="F372">
        <v>60</v>
      </c>
      <c r="G372">
        <v>30</v>
      </c>
      <c r="H372" s="12" t="s">
        <v>160</v>
      </c>
    </row>
    <row r="373" spans="1:8" x14ac:dyDescent="0.45">
      <c r="A373" s="3">
        <v>46293</v>
      </c>
      <c r="B373" s="12" t="s">
        <v>525</v>
      </c>
      <c r="C373" s="12" t="s">
        <v>13</v>
      </c>
      <c r="D373">
        <v>14</v>
      </c>
      <c r="E373">
        <v>90</v>
      </c>
      <c r="F373">
        <v>60</v>
      </c>
      <c r="G373">
        <v>30</v>
      </c>
      <c r="H373" s="12" t="s">
        <v>177</v>
      </c>
    </row>
    <row r="374" spans="1:8" x14ac:dyDescent="0.45">
      <c r="A374" s="3">
        <v>46093</v>
      </c>
      <c r="B374" s="12" t="s">
        <v>526</v>
      </c>
      <c r="C374" s="12" t="s">
        <v>6</v>
      </c>
      <c r="D374">
        <v>15</v>
      </c>
      <c r="E374">
        <v>90</v>
      </c>
      <c r="F374">
        <v>60</v>
      </c>
      <c r="G374">
        <v>30</v>
      </c>
      <c r="H374" s="12" t="s">
        <v>119</v>
      </c>
    </row>
    <row r="375" spans="1:8" x14ac:dyDescent="0.45">
      <c r="A375" s="3">
        <v>46213</v>
      </c>
      <c r="B375" s="12" t="s">
        <v>527</v>
      </c>
      <c r="C375" s="12" t="s">
        <v>21</v>
      </c>
      <c r="D375">
        <v>13</v>
      </c>
      <c r="E375">
        <v>100</v>
      </c>
      <c r="F375">
        <v>100</v>
      </c>
      <c r="G375">
        <v>0</v>
      </c>
      <c r="H375" s="12" t="s">
        <v>7</v>
      </c>
    </row>
    <row r="376" spans="1:8" x14ac:dyDescent="0.45">
      <c r="A376" s="3">
        <v>46086</v>
      </c>
      <c r="B376" s="12" t="s">
        <v>528</v>
      </c>
      <c r="C376" s="12" t="s">
        <v>9</v>
      </c>
      <c r="D376">
        <v>14</v>
      </c>
      <c r="E376">
        <v>90</v>
      </c>
      <c r="F376">
        <v>60</v>
      </c>
      <c r="G376">
        <v>30</v>
      </c>
      <c r="H376" s="12" t="s">
        <v>529</v>
      </c>
    </row>
    <row r="377" spans="1:8" x14ac:dyDescent="0.45">
      <c r="A377" s="3">
        <v>46253</v>
      </c>
      <c r="B377" s="12" t="s">
        <v>530</v>
      </c>
      <c r="C377" s="12" t="s">
        <v>10</v>
      </c>
      <c r="D377">
        <v>10</v>
      </c>
      <c r="E377">
        <v>70</v>
      </c>
      <c r="F377">
        <v>70</v>
      </c>
      <c r="G377">
        <v>0</v>
      </c>
      <c r="H377" s="12" t="s">
        <v>7</v>
      </c>
    </row>
    <row r="378" spans="1:8" x14ac:dyDescent="0.45">
      <c r="A378" s="3">
        <v>46069</v>
      </c>
      <c r="B378" s="12" t="s">
        <v>531</v>
      </c>
      <c r="C378" s="12" t="s">
        <v>18</v>
      </c>
      <c r="D378">
        <v>12</v>
      </c>
      <c r="E378">
        <v>90</v>
      </c>
      <c r="F378">
        <v>65</v>
      </c>
      <c r="G378">
        <v>25</v>
      </c>
      <c r="H378" s="12" t="s">
        <v>307</v>
      </c>
    </row>
    <row r="379" spans="1:8" x14ac:dyDescent="0.45">
      <c r="A379" s="3">
        <v>46235</v>
      </c>
      <c r="B379" s="12" t="s">
        <v>532</v>
      </c>
      <c r="C379" s="12" t="s">
        <v>23</v>
      </c>
      <c r="D379">
        <v>6</v>
      </c>
      <c r="E379">
        <v>90</v>
      </c>
      <c r="F379">
        <v>60</v>
      </c>
      <c r="G379">
        <v>30</v>
      </c>
      <c r="H379" s="12" t="s">
        <v>147</v>
      </c>
    </row>
    <row r="380" spans="1:8" x14ac:dyDescent="0.45">
      <c r="A380" s="3">
        <v>46143</v>
      </c>
      <c r="B380" s="12" t="s">
        <v>533</v>
      </c>
      <c r="C380" s="12" t="s">
        <v>11</v>
      </c>
      <c r="D380">
        <v>11</v>
      </c>
      <c r="E380">
        <v>90</v>
      </c>
      <c r="F380">
        <v>70</v>
      </c>
      <c r="G380">
        <v>20</v>
      </c>
      <c r="H380" s="12" t="s">
        <v>429</v>
      </c>
    </row>
    <row r="381" spans="1:8" x14ac:dyDescent="0.45">
      <c r="A381" s="3">
        <v>46037</v>
      </c>
      <c r="B381" s="12" t="s">
        <v>534</v>
      </c>
      <c r="C381" s="12" t="s">
        <v>23</v>
      </c>
      <c r="D381">
        <v>9</v>
      </c>
      <c r="E381">
        <v>90</v>
      </c>
      <c r="F381">
        <v>60</v>
      </c>
      <c r="G381">
        <v>30</v>
      </c>
      <c r="H381" s="12" t="s">
        <v>63</v>
      </c>
    </row>
    <row r="382" spans="1:8" x14ac:dyDescent="0.45">
      <c r="A382" s="3">
        <v>46097</v>
      </c>
      <c r="B382" s="12" t="s">
        <v>535</v>
      </c>
      <c r="C382" s="12" t="s">
        <v>21</v>
      </c>
      <c r="D382">
        <v>11</v>
      </c>
      <c r="E382">
        <v>100</v>
      </c>
      <c r="F382">
        <v>70</v>
      </c>
      <c r="G382">
        <v>30</v>
      </c>
      <c r="H382" s="12" t="s">
        <v>536</v>
      </c>
    </row>
    <row r="383" spans="1:8" x14ac:dyDescent="0.45">
      <c r="A383" s="3">
        <v>46094</v>
      </c>
      <c r="B383" s="12" t="s">
        <v>537</v>
      </c>
      <c r="C383" s="12" t="s">
        <v>26</v>
      </c>
      <c r="D383">
        <v>13</v>
      </c>
      <c r="E383">
        <v>80</v>
      </c>
      <c r="F383">
        <v>80</v>
      </c>
      <c r="G383">
        <v>0</v>
      </c>
      <c r="H383" s="12" t="s">
        <v>7</v>
      </c>
    </row>
    <row r="384" spans="1:8" x14ac:dyDescent="0.45">
      <c r="A384" s="3">
        <v>46025</v>
      </c>
      <c r="B384" s="12" t="s">
        <v>538</v>
      </c>
      <c r="C384" s="12" t="s">
        <v>19</v>
      </c>
      <c r="D384">
        <v>13</v>
      </c>
      <c r="E384">
        <v>100</v>
      </c>
      <c r="F384">
        <v>80</v>
      </c>
      <c r="G384">
        <v>20</v>
      </c>
      <c r="H384" s="12" t="s">
        <v>539</v>
      </c>
    </row>
    <row r="385" spans="1:8" x14ac:dyDescent="0.45">
      <c r="A385" s="3">
        <v>46099</v>
      </c>
      <c r="B385" s="12" t="s">
        <v>540</v>
      </c>
      <c r="C385" s="12" t="s">
        <v>15</v>
      </c>
      <c r="D385">
        <v>9</v>
      </c>
      <c r="E385">
        <v>90</v>
      </c>
      <c r="F385">
        <v>90</v>
      </c>
      <c r="G385">
        <v>0</v>
      </c>
      <c r="H385" s="12" t="s">
        <v>7</v>
      </c>
    </row>
    <row r="386" spans="1:8" x14ac:dyDescent="0.45">
      <c r="A386" s="3">
        <v>46239</v>
      </c>
      <c r="B386" s="12" t="s">
        <v>541</v>
      </c>
      <c r="C386" s="12" t="s">
        <v>8</v>
      </c>
      <c r="D386">
        <v>14</v>
      </c>
      <c r="E386">
        <v>120</v>
      </c>
      <c r="F386">
        <v>80</v>
      </c>
      <c r="G386">
        <v>40</v>
      </c>
      <c r="H386" s="12" t="s">
        <v>132</v>
      </c>
    </row>
    <row r="387" spans="1:8" x14ac:dyDescent="0.45">
      <c r="A387" s="3">
        <v>46085</v>
      </c>
      <c r="B387" s="12" t="s">
        <v>542</v>
      </c>
      <c r="C387" s="12" t="s">
        <v>24</v>
      </c>
      <c r="D387">
        <v>10</v>
      </c>
      <c r="E387">
        <v>120</v>
      </c>
      <c r="F387">
        <v>95</v>
      </c>
      <c r="G387">
        <v>25</v>
      </c>
      <c r="H387" s="12" t="s">
        <v>543</v>
      </c>
    </row>
    <row r="388" spans="1:8" x14ac:dyDescent="0.45">
      <c r="A388" s="3">
        <v>46257</v>
      </c>
      <c r="B388" s="12" t="s">
        <v>544</v>
      </c>
      <c r="C388" s="12" t="s">
        <v>14</v>
      </c>
      <c r="D388">
        <v>15</v>
      </c>
      <c r="E388">
        <v>120</v>
      </c>
      <c r="F388">
        <v>100</v>
      </c>
      <c r="G388">
        <v>20</v>
      </c>
      <c r="H388" s="12" t="s">
        <v>418</v>
      </c>
    </row>
    <row r="389" spans="1:8" x14ac:dyDescent="0.45">
      <c r="A389" s="3">
        <v>46031</v>
      </c>
      <c r="B389" s="12" t="s">
        <v>545</v>
      </c>
      <c r="C389" s="12" t="s">
        <v>19</v>
      </c>
      <c r="D389">
        <v>15</v>
      </c>
      <c r="E389">
        <v>100</v>
      </c>
      <c r="F389">
        <v>100</v>
      </c>
      <c r="G389">
        <v>0</v>
      </c>
      <c r="H389" s="12" t="s">
        <v>7</v>
      </c>
    </row>
    <row r="390" spans="1:8" x14ac:dyDescent="0.45">
      <c r="A390" s="3">
        <v>46146</v>
      </c>
      <c r="B390" s="12" t="s">
        <v>546</v>
      </c>
      <c r="C390" s="12" t="s">
        <v>11</v>
      </c>
      <c r="D390">
        <v>15</v>
      </c>
      <c r="E390">
        <v>90</v>
      </c>
      <c r="F390">
        <v>90</v>
      </c>
      <c r="G390">
        <v>0</v>
      </c>
      <c r="H390" s="12" t="s">
        <v>7</v>
      </c>
    </row>
    <row r="391" spans="1:8" x14ac:dyDescent="0.45">
      <c r="A391" s="3">
        <v>46242</v>
      </c>
      <c r="B391" s="12" t="s">
        <v>547</v>
      </c>
      <c r="C391" s="12" t="s">
        <v>18</v>
      </c>
      <c r="D391">
        <v>10</v>
      </c>
      <c r="E391">
        <v>90</v>
      </c>
      <c r="F391">
        <v>65</v>
      </c>
      <c r="G391">
        <v>25</v>
      </c>
      <c r="H391" s="12" t="s">
        <v>548</v>
      </c>
    </row>
    <row r="392" spans="1:8" x14ac:dyDescent="0.45">
      <c r="A392" s="3">
        <v>46236</v>
      </c>
      <c r="B392" s="12" t="s">
        <v>549</v>
      </c>
      <c r="C392" s="12" t="s">
        <v>24</v>
      </c>
      <c r="D392">
        <v>15</v>
      </c>
      <c r="E392">
        <v>120</v>
      </c>
      <c r="F392">
        <v>95</v>
      </c>
      <c r="G392">
        <v>25</v>
      </c>
      <c r="H392" s="12" t="s">
        <v>529</v>
      </c>
    </row>
    <row r="393" spans="1:8" x14ac:dyDescent="0.45">
      <c r="A393" s="3">
        <v>46057</v>
      </c>
      <c r="B393" s="12" t="s">
        <v>550</v>
      </c>
      <c r="C393" s="12" t="s">
        <v>11</v>
      </c>
      <c r="D393">
        <v>11</v>
      </c>
      <c r="E393">
        <v>90</v>
      </c>
      <c r="F393">
        <v>90</v>
      </c>
      <c r="G393">
        <v>0</v>
      </c>
      <c r="H393" s="12" t="s">
        <v>7</v>
      </c>
    </row>
    <row r="394" spans="1:8" x14ac:dyDescent="0.45">
      <c r="A394" s="3">
        <v>46282</v>
      </c>
      <c r="B394" s="12" t="s">
        <v>551</v>
      </c>
      <c r="C394" s="12" t="s">
        <v>17</v>
      </c>
      <c r="D394">
        <v>14</v>
      </c>
      <c r="E394">
        <v>80</v>
      </c>
      <c r="F394">
        <v>80</v>
      </c>
      <c r="G394">
        <v>0</v>
      </c>
      <c r="H394" s="12" t="s">
        <v>7</v>
      </c>
    </row>
    <row r="395" spans="1:8" x14ac:dyDescent="0.45">
      <c r="A395" s="3">
        <v>46263</v>
      </c>
      <c r="B395" s="12" t="s">
        <v>552</v>
      </c>
      <c r="C395" s="12" t="s">
        <v>20</v>
      </c>
      <c r="D395">
        <v>12</v>
      </c>
      <c r="E395">
        <v>90</v>
      </c>
      <c r="F395">
        <v>50</v>
      </c>
      <c r="G395">
        <v>40</v>
      </c>
      <c r="H395" s="12" t="s">
        <v>505</v>
      </c>
    </row>
    <row r="396" spans="1:8" x14ac:dyDescent="0.45">
      <c r="A396" s="3">
        <v>46031</v>
      </c>
      <c r="B396" s="12" t="s">
        <v>553</v>
      </c>
      <c r="C396" s="12" t="s">
        <v>23</v>
      </c>
      <c r="D396">
        <v>10</v>
      </c>
      <c r="E396">
        <v>90</v>
      </c>
      <c r="F396">
        <v>60</v>
      </c>
      <c r="G396">
        <v>30</v>
      </c>
      <c r="H396" s="12" t="s">
        <v>554</v>
      </c>
    </row>
    <row r="397" spans="1:8" x14ac:dyDescent="0.45">
      <c r="A397" s="3">
        <v>46076</v>
      </c>
      <c r="B397" s="12" t="s">
        <v>555</v>
      </c>
      <c r="C397" s="12" t="s">
        <v>23</v>
      </c>
      <c r="D397">
        <v>9</v>
      </c>
      <c r="E397">
        <v>90</v>
      </c>
      <c r="F397">
        <v>90</v>
      </c>
      <c r="G397">
        <v>0</v>
      </c>
      <c r="H397" s="12" t="s">
        <v>7</v>
      </c>
    </row>
    <row r="398" spans="1:8" x14ac:dyDescent="0.45">
      <c r="A398" s="3">
        <v>46091</v>
      </c>
      <c r="B398" s="12" t="s">
        <v>556</v>
      </c>
      <c r="C398" s="12" t="s">
        <v>16</v>
      </c>
      <c r="D398">
        <v>11</v>
      </c>
      <c r="E398">
        <v>120</v>
      </c>
      <c r="F398">
        <v>80</v>
      </c>
      <c r="G398">
        <v>40</v>
      </c>
      <c r="H398" s="12" t="s">
        <v>548</v>
      </c>
    </row>
    <row r="399" spans="1:8" x14ac:dyDescent="0.45">
      <c r="A399" s="3">
        <v>46112</v>
      </c>
      <c r="B399" s="12" t="s">
        <v>557</v>
      </c>
      <c r="C399" s="12" t="s">
        <v>17</v>
      </c>
      <c r="D399">
        <v>11</v>
      </c>
      <c r="E399">
        <v>80</v>
      </c>
      <c r="F399">
        <v>80</v>
      </c>
      <c r="G399">
        <v>0</v>
      </c>
      <c r="H399" s="12" t="s">
        <v>7</v>
      </c>
    </row>
    <row r="400" spans="1:8" x14ac:dyDescent="0.45">
      <c r="A400" s="3">
        <v>46116</v>
      </c>
      <c r="B400" s="12" t="s">
        <v>558</v>
      </c>
      <c r="C400" s="12" t="s">
        <v>12</v>
      </c>
      <c r="D400">
        <v>13</v>
      </c>
      <c r="E400">
        <v>100</v>
      </c>
      <c r="F400">
        <v>70</v>
      </c>
      <c r="G400">
        <v>30</v>
      </c>
      <c r="H400" s="12" t="s">
        <v>106</v>
      </c>
    </row>
    <row r="401" spans="1:8" x14ac:dyDescent="0.45">
      <c r="A401" s="3">
        <v>46173</v>
      </c>
      <c r="B401" s="12" t="s">
        <v>559</v>
      </c>
      <c r="C401" s="12" t="s">
        <v>12</v>
      </c>
      <c r="D401">
        <v>6</v>
      </c>
      <c r="E401">
        <v>100</v>
      </c>
      <c r="F401">
        <v>70</v>
      </c>
      <c r="G401">
        <v>30</v>
      </c>
      <c r="H401" s="12" t="s">
        <v>400</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F56B-5995-439E-ABEB-3C6541F017C3}">
  <dimension ref="B2:L40"/>
  <sheetViews>
    <sheetView tabSelected="1" zoomScale="68" zoomScaleNormal="82" workbookViewId="0">
      <selection activeCell="V27" sqref="V27"/>
    </sheetView>
  </sheetViews>
  <sheetFormatPr baseColWidth="10" defaultRowHeight="14.25" x14ac:dyDescent="0.45"/>
  <cols>
    <col min="8" max="8" width="10.6640625" customWidth="1"/>
    <col min="12" max="12" width="11.33203125" bestFit="1" customWidth="1"/>
  </cols>
  <sheetData>
    <row r="2" spans="11:12" x14ac:dyDescent="0.45">
      <c r="K2" s="8" t="s">
        <v>564</v>
      </c>
      <c r="L2" s="9">
        <f>SUM(Pivot!B4:B12)</f>
        <v>31860</v>
      </c>
    </row>
    <row r="39" spans="2:8" x14ac:dyDescent="0.45">
      <c r="B39" s="7"/>
      <c r="C39" s="10" t="s">
        <v>565</v>
      </c>
      <c r="D39" s="8" t="str">
        <f>_xlfn.XLOOKUP(E39,Pivot!B21:B41,Pivot!A21:A41)</f>
        <v>Hockey</v>
      </c>
      <c r="E39" s="11">
        <f>MAX(Pivot!B21:B41)</f>
        <v>25</v>
      </c>
      <c r="F39" s="8"/>
      <c r="G39" s="10" t="s">
        <v>567</v>
      </c>
      <c r="H39" s="8">
        <v>173</v>
      </c>
    </row>
    <row r="40" spans="2:8" x14ac:dyDescent="0.45">
      <c r="B40" s="7"/>
      <c r="C40" s="10" t="s">
        <v>566</v>
      </c>
      <c r="D40" s="8" t="str">
        <f>_xlfn.XLOOKUP(E40,Pivot!B21:B41,Pivot!A21:A41)</f>
        <v>Basketball</v>
      </c>
      <c r="E40" s="11">
        <f>MIN(Pivot!B21:B41)</f>
        <v>11</v>
      </c>
      <c r="F40" s="8"/>
      <c r="G40" s="10" t="s">
        <v>568</v>
      </c>
      <c r="H40" s="8">
        <f>SUM(Pivot!B21:B41)-Dashboard!H39</f>
        <v>227</v>
      </c>
    </row>
  </sheetData>
  <pageMargins left="0.7" right="0.7" top="0.78740157499999996" bottom="0.78740157499999996"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F4BA03-485C-46C9-A93A-8993A62EB0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Pivot</vt:lpstr>
      <vt:lpstr>buchungen_rohdaten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 B</dc:creator>
  <cp:lastModifiedBy>F B</cp:lastModifiedBy>
  <dcterms:created xsi:type="dcterms:W3CDTF">2026-10-22T12:50:53Z</dcterms:created>
  <dcterms:modified xsi:type="dcterms:W3CDTF">2026-10-23T11:38:03Z</dcterms:modified>
</cp:coreProperties>
</file>